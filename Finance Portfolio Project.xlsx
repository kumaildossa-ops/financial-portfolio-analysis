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da5203ac07133fe6/Desktop/"/>
    </mc:Choice>
  </mc:AlternateContent>
  <xr:revisionPtr revIDLastSave="0" documentId="8_{82620CA0-47BC-4F2A-8BD4-A60E055B8863}" xr6:coauthVersionLast="47" xr6:coauthVersionMax="47" xr10:uidLastSave="{00000000-0000-0000-0000-000000000000}"/>
  <bookViews>
    <workbookView xWindow="-120" yWindow="-120" windowWidth="29040" windowHeight="15720" activeTab="3" xr2:uid="{11C880BB-840B-4F47-9735-0E60D7F79E28}"/>
  </bookViews>
  <sheets>
    <sheet name="Portfolio" sheetId="1" r:id="rId1"/>
    <sheet name="Weekly Updates" sheetId="2" r:id="rId2"/>
    <sheet name="Hidden Data" sheetId="4" state="hidden" r:id="rId3"/>
    <sheet name="Analysis"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2" l="1"/>
  <c r="D1" i="4" a="1"/>
  <c r="G1" i="4" a="1"/>
  <c r="A1" i="4" a="1"/>
  <c r="J1" i="4" a="1"/>
  <c r="A3" i="2" a="1"/>
  <c r="F3" i="2" l="1"/>
  <c r="F4" i="2"/>
  <c r="G4" i="2" s="1"/>
  <c r="F5" i="2"/>
  <c r="F6" i="2"/>
  <c r="G6" i="2" s="1"/>
  <c r="F14" i="2"/>
  <c r="F22" i="2"/>
  <c r="F30" i="2"/>
  <c r="F38" i="2"/>
  <c r="G38" i="2" s="1"/>
  <c r="F46" i="2"/>
  <c r="F15" i="2"/>
  <c r="F23" i="2"/>
  <c r="F31" i="2"/>
  <c r="F39" i="2"/>
  <c r="F47" i="2"/>
  <c r="F16" i="2"/>
  <c r="F24" i="2"/>
  <c r="F32" i="2"/>
  <c r="F40" i="2"/>
  <c r="F48" i="2"/>
  <c r="F49" i="2"/>
  <c r="G49" i="2" s="1"/>
  <c r="F18" i="2"/>
  <c r="F26" i="2"/>
  <c r="F34" i="2"/>
  <c r="F42" i="2"/>
  <c r="G42" i="2" s="1"/>
  <c r="F50" i="2"/>
  <c r="F11" i="2"/>
  <c r="F19" i="2"/>
  <c r="F27" i="2"/>
  <c r="F35" i="2"/>
  <c r="F43" i="2"/>
  <c r="F51" i="2"/>
  <c r="G51" i="2" s="1"/>
  <c r="F12" i="2"/>
  <c r="G12" i="2" s="1"/>
  <c r="F20" i="2"/>
  <c r="F28" i="2"/>
  <c r="F36" i="2"/>
  <c r="F44" i="2"/>
  <c r="F52" i="2"/>
  <c r="F13" i="2"/>
  <c r="F21" i="2"/>
  <c r="F29" i="2"/>
  <c r="F37" i="2"/>
  <c r="F45" i="2"/>
  <c r="F7" i="2"/>
  <c r="F8" i="2"/>
  <c r="G8" i="2" s="1"/>
  <c r="F9" i="2"/>
  <c r="G9" i="2" s="1"/>
  <c r="F17" i="2"/>
  <c r="F25" i="2"/>
  <c r="F33" i="2"/>
  <c r="G33" i="2" s="1"/>
  <c r="F41" i="2"/>
  <c r="F10" i="2"/>
  <c r="J1" i="4"/>
  <c r="G1" i="4"/>
  <c r="D1" i="4"/>
  <c r="A3" i="2"/>
  <c r="A1" i="4"/>
  <c r="B11" i="1"/>
  <c r="D6" i="1"/>
  <c r="D7" i="1"/>
  <c r="F7" i="1" s="1"/>
  <c r="G7" i="1" s="1"/>
  <c r="D8" i="1"/>
  <c r="F8" i="1" s="1"/>
  <c r="G8" i="1" s="1"/>
  <c r="D5" i="1"/>
  <c r="F5" i="1" s="1"/>
  <c r="G29" i="2" l="1"/>
  <c r="G21" i="2"/>
  <c r="G16" i="2"/>
  <c r="G47" i="2"/>
  <c r="G24" i="2"/>
  <c r="G41" i="2"/>
  <c r="G27" i="2"/>
  <c r="G37" i="2"/>
  <c r="G34" i="2"/>
  <c r="G17" i="2"/>
  <c r="G13" i="2"/>
  <c r="G43" i="2"/>
  <c r="G26" i="2"/>
  <c r="G22" i="2"/>
  <c r="G39" i="2"/>
  <c r="G44" i="2"/>
  <c r="G7" i="2"/>
  <c r="G36" i="2"/>
  <c r="G19" i="2"/>
  <c r="G48" i="2"/>
  <c r="G23" i="2"/>
  <c r="G25" i="2"/>
  <c r="G52" i="2"/>
  <c r="G18" i="2"/>
  <c r="G31" i="2"/>
  <c r="G10" i="2"/>
  <c r="G45" i="2"/>
  <c r="G28" i="2"/>
  <c r="G11" i="2"/>
  <c r="G40" i="2"/>
  <c r="G15" i="2"/>
  <c r="G5" i="2"/>
  <c r="G30" i="2"/>
  <c r="G35" i="2"/>
  <c r="G14" i="2"/>
  <c r="G20" i="2"/>
  <c r="G50" i="2"/>
  <c r="G32" i="2"/>
  <c r="G46" i="2"/>
  <c r="G3" i="2"/>
  <c r="F2" i="2"/>
  <c r="F6" i="1"/>
  <c r="G6" i="1" s="1"/>
  <c r="B12" i="1" l="1"/>
  <c r="B14" i="1" s="1"/>
  <c r="G5" i="1"/>
  <c r="B13"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5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futureMetadata>
  <cellMetadata count="1">
    <bk>
      <rc t="1" v="0"/>
    </bk>
  </cellMetadata>
  <valueMetadata count="25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valueMetadata>
</metadata>
</file>

<file path=xl/sharedStrings.xml><?xml version="1.0" encoding="utf-8"?>
<sst xmlns="http://schemas.openxmlformats.org/spreadsheetml/2006/main" count="138" uniqueCount="76">
  <si>
    <t>Company</t>
  </si>
  <si>
    <t>Current Value</t>
  </si>
  <si>
    <t>Barclays</t>
  </si>
  <si>
    <t>HSBC</t>
  </si>
  <si>
    <t>Lloyds</t>
  </si>
  <si>
    <t>Natwest</t>
  </si>
  <si>
    <t>Portfolio Start Date</t>
  </si>
  <si>
    <t>Initial Capital</t>
  </si>
  <si>
    <t>NatWest</t>
  </si>
  <si>
    <t>Buy Price(GBX)</t>
  </si>
  <si>
    <t xml:space="preserve">Shares </t>
  </si>
  <si>
    <t>Investment (Rounded)</t>
  </si>
  <si>
    <t xml:space="preserve">Total Invested </t>
  </si>
  <si>
    <t>Total Current Value</t>
  </si>
  <si>
    <t>Total Profit</t>
  </si>
  <si>
    <t>Overall Return</t>
  </si>
  <si>
    <t>Current Price (GBX)</t>
  </si>
  <si>
    <t>Total Return %</t>
  </si>
  <si>
    <t>Portfolio Value</t>
  </si>
  <si>
    <t>Major News</t>
  </si>
  <si>
    <t>My Analysis</t>
  </si>
  <si>
    <t>Portfolio created</t>
  </si>
  <si>
    <t>Simulated £10,000 portfolio equally invested across four major UK banks to analyse the impact of market movements and economic conditions.</t>
  </si>
  <si>
    <t>Weekly Return</t>
  </si>
  <si>
    <t xml:space="preserve">All share prices given in GBX. Share prices updated every Monday. </t>
  </si>
  <si>
    <t>Markets anticipated the BoE interest-rate decision</t>
  </si>
  <si>
    <t>UK inflation figures released during this week</t>
  </si>
  <si>
    <t>UK labour market and GDP data influenced markets</t>
  </si>
  <si>
    <t>Global markets reacted to central bank policy announcements</t>
  </si>
  <si>
    <t>Banks prepared to release quarterly trading updates.</t>
  </si>
  <si>
    <t>Bank of England policy meeting week</t>
  </si>
  <si>
    <t>Major UK banks continued reporting financial peformance</t>
  </si>
  <si>
    <t>Final Bank of England policy meeting this year</t>
  </si>
  <si>
    <t>UK GDP and employment data</t>
  </si>
  <si>
    <t>UK inflation released</t>
  </si>
  <si>
    <t>Markets anticipated the February Bank of England meeting</t>
  </si>
  <si>
    <t>HSBC annual results released</t>
  </si>
  <si>
    <t>Barclays annual results released</t>
  </si>
  <si>
    <t>Lloyds and NatWest annual results</t>
  </si>
  <si>
    <t>UK Spring Statement Week</t>
  </si>
  <si>
    <t>Markets anticipated the May Bank of England meeting</t>
  </si>
  <si>
    <t>Bank of England interest-rate decision week</t>
  </si>
  <si>
    <t>Markets prepared for June monetary policy announcements</t>
  </si>
  <si>
    <t>Final portfolio valuation</t>
  </si>
  <si>
    <t>No major UK banking news</t>
  </si>
  <si>
    <t>Share price movements were mainly driven by normal market trading, investor sentiment and wider economic expectations</t>
  </si>
  <si>
    <t>Investors focused on inflation as it influences future Bank of England interest-rate decisions.</t>
  </si>
  <si>
    <t>Expectations for monetary policy influenced bank share prices.</t>
  </si>
  <si>
    <t>Inflation data affected expectations for future interest-rate changes.</t>
  </si>
  <si>
    <t>Stronger economic data generally supports lending activity and bank profitability.</t>
  </si>
  <si>
    <t>UK bank shares moved alongside broader financial markets.</t>
  </si>
  <si>
    <t>Investors positioned ahead of company earnings announcements</t>
  </si>
  <si>
    <t>Interest-rate expectations remained the key driver of banking stocks.</t>
  </si>
  <si>
    <t>Inflation influenced expectations for future monetary policy.</t>
  </si>
  <si>
    <t>Investors assessed profitability and future guidance.</t>
  </si>
  <si>
    <t>Markets reacted to interest-rate guidance for 2026.</t>
  </si>
  <si>
    <t>Economic growth expectations influenced investor confidence in banks.</t>
  </si>
  <si>
    <t>Inflation remained an important factor affecting interest-rate expectations.</t>
  </si>
  <si>
    <t>Investors monitored the outlook for monetary policy.</t>
  </si>
  <si>
    <t>Strong earnings supported confidence in the banking sector.</t>
  </si>
  <si>
    <t>Investors focused on profitability, dividends and future guidance.</t>
  </si>
  <si>
    <t>Earnings reports influenced sentiment across UK banking stocks.</t>
  </si>
  <si>
    <t>Inflation data continued to influence expectations for future interest-rate decisions.</t>
  </si>
  <si>
    <t>Fiscal policy announcements affected economic and market expectations.</t>
  </si>
  <si>
    <t>Interest-rate expectations remained the key driver of bank valuations.</t>
  </si>
  <si>
    <t>Monetary policy continued to influence investor sentiment towards UK banks.</t>
  </si>
  <si>
    <t>Inflation data affected expectations for future rate decisions.</t>
  </si>
  <si>
    <t>Investors monitored inflation and interest-rate expectations closely.</t>
  </si>
  <si>
    <t>Portfolio performance reviewed and compared against the economic environment over the year.</t>
  </si>
  <si>
    <t xml:space="preserve">UK CPI inflation data due this week </t>
  </si>
  <si>
    <t xml:space="preserve">Weekly Date </t>
  </si>
  <si>
    <t>This project analysed the performance of a simulated £10,000 investment equally allocated between Barclays, HSBC, Lloyds Banking Group and NatWest from July 2025 to June 2026. Weekly share prices were tracked using Excel's STOCKHISTORY function and portfolio returns were calculated automatically. Market performance was analysed alongside major economic events including Bank of England interest-rate decisions, UK inflation releases and company earnings announcements.</t>
  </si>
  <si>
    <t>Executive summary:</t>
  </si>
  <si>
    <t>Portfolio End Date</t>
  </si>
  <si>
    <t>Skills Demonstrated:</t>
  </si>
  <si>
    <t>Microsoft Excel
Financial Analysis
Portfolio Management
Data Visualisation
Economic Research
Investment Analysis
Independent 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</si>
</sst>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5" formatCode="_(&quot;£&quot;* #,##0.00_);_(&quot;£&quot;* \(#,##0.00\);_(&quot;£&quot;* &quot;-&quot;??_);_(@_)"/>
    <numFmt numFmtId="166" formatCode="0.0"/>
  </numFmts>
  <fonts count="6">
    <font>
      <sz val="12"/>
      <color theme="1"/>
      <name val="Calibri"/>
      <family val="2"/>
      <scheme val="minor"/>
    </font>
    <font>
      <sz val="12"/>
      <color theme="1"/>
      <name val="Calibri"/>
      <family val="2"/>
      <scheme val="minor"/>
    </font>
    <font>
      <sz val="20"/>
      <color theme="1"/>
      <name val="Calibri"/>
      <family val="2"/>
      <scheme val="minor"/>
    </font>
    <font>
      <b/>
      <sz val="20"/>
      <color theme="1"/>
      <name val="Calibri"/>
      <family val="2"/>
      <scheme val="minor"/>
    </font>
    <font>
      <sz val="20"/>
      <color theme="1"/>
      <name val="Calibri (Body)"/>
    </font>
    <font>
      <b/>
      <sz val="20"/>
      <color theme="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theme="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165" fontId="1" fillId="0" borderId="0" applyFont="0" applyFill="0" applyBorder="0" applyAlignment="0" applyProtection="0"/>
    <xf numFmtId="9" fontId="1" fillId="0" borderId="0" applyFont="0" applyFill="0" applyBorder="0" applyAlignment="0" applyProtection="0"/>
  </cellStyleXfs>
  <cellXfs count="42">
    <xf numFmtId="0" fontId="0" fillId="0" borderId="0" xfId="0"/>
    <xf numFmtId="0" fontId="2" fillId="0" borderId="0" xfId="0" applyFont="1"/>
    <xf numFmtId="14" fontId="2" fillId="0" borderId="0" xfId="0" applyNumberFormat="1" applyFont="1"/>
    <xf numFmtId="164" fontId="2" fillId="0" borderId="0" xfId="0" applyNumberFormat="1" applyFont="1"/>
    <xf numFmtId="9" fontId="2" fillId="0" borderId="0" xfId="2" applyFont="1"/>
    <xf numFmtId="0" fontId="3" fillId="0" borderId="1" xfId="0" applyFont="1" applyBorder="1"/>
    <xf numFmtId="0" fontId="2" fillId="0" borderId="1" xfId="0" applyFont="1" applyBorder="1"/>
    <xf numFmtId="9" fontId="2" fillId="0" borderId="1" xfId="2" applyFont="1" applyBorder="1"/>
    <xf numFmtId="4" fontId="2" fillId="0" borderId="1" xfId="0" applyNumberFormat="1" applyFont="1" applyBorder="1"/>
    <xf numFmtId="165" fontId="2" fillId="0" borderId="1" xfId="1" applyFont="1" applyBorder="1"/>
    <xf numFmtId="165" fontId="2" fillId="0" borderId="0" xfId="1" applyFont="1"/>
    <xf numFmtId="2" fontId="2" fillId="0" borderId="1" xfId="0" applyNumberFormat="1" applyFont="1" applyBorder="1"/>
    <xf numFmtId="0" fontId="2" fillId="2" borderId="1" xfId="0" applyFont="1" applyFill="1" applyBorder="1"/>
    <xf numFmtId="9" fontId="2" fillId="4" borderId="1" xfId="2" applyFont="1" applyFill="1" applyBorder="1"/>
    <xf numFmtId="14" fontId="5" fillId="3" borderId="2" xfId="0" applyNumberFormat="1" applyFont="1" applyFill="1" applyBorder="1" applyAlignment="1">
      <alignment horizontal="left"/>
    </xf>
    <xf numFmtId="0" fontId="5" fillId="3" borderId="3" xfId="0" applyFont="1" applyFill="1" applyBorder="1" applyAlignment="1">
      <alignment horizontal="center"/>
    </xf>
    <xf numFmtId="0" fontId="5" fillId="3" borderId="4" xfId="0" applyFont="1" applyFill="1" applyBorder="1" applyAlignment="1">
      <alignment horizontal="center"/>
    </xf>
    <xf numFmtId="14" fontId="2" fillId="0" borderId="5" xfId="0" applyNumberFormat="1" applyFont="1" applyBorder="1"/>
    <xf numFmtId="0" fontId="2" fillId="2" borderId="6" xfId="0" applyFont="1" applyFill="1" applyBorder="1"/>
    <xf numFmtId="0" fontId="2" fillId="0" borderId="6" xfId="0" applyFont="1" applyBorder="1"/>
    <xf numFmtId="0" fontId="2" fillId="2" borderId="7" xfId="0" applyFont="1" applyFill="1" applyBorder="1"/>
    <xf numFmtId="0" fontId="2" fillId="2" borderId="8" xfId="0" applyFont="1" applyFill="1" applyBorder="1"/>
    <xf numFmtId="14" fontId="2" fillId="0" borderId="9" xfId="0" applyNumberFormat="1" applyFont="1" applyBorder="1"/>
    <xf numFmtId="0" fontId="2" fillId="0" borderId="10" xfId="0" applyFont="1" applyBorder="1"/>
    <xf numFmtId="165" fontId="2" fillId="0" borderId="10" xfId="1" applyFont="1" applyBorder="1"/>
    <xf numFmtId="9" fontId="2" fillId="0" borderId="10" xfId="2" applyFont="1" applyBorder="1"/>
    <xf numFmtId="0" fontId="2" fillId="2" borderId="10" xfId="0" applyFont="1" applyFill="1" applyBorder="1"/>
    <xf numFmtId="0" fontId="2" fillId="2" borderId="11" xfId="0" applyFont="1" applyFill="1" applyBorder="1"/>
    <xf numFmtId="0" fontId="4" fillId="0" borderId="0" xfId="0" applyFont="1"/>
    <xf numFmtId="166" fontId="2" fillId="0" borderId="1" xfId="0" applyNumberFormat="1" applyFont="1" applyBorder="1"/>
    <xf numFmtId="14" fontId="2" fillId="0" borderId="0" xfId="0" applyNumberFormat="1" applyFont="1"/>
    <xf numFmtId="0" fontId="2" fillId="2" borderId="0" xfId="0" applyFont="1" applyFill="1" applyAlignment="1">
      <alignment vertical="center" wrapText="1"/>
    </xf>
    <xf numFmtId="0" fontId="5" fillId="3" borderId="12"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16" xfId="0" applyFont="1" applyFill="1" applyBorder="1" applyAlignment="1">
      <alignment horizontal="center" vertical="center"/>
    </xf>
    <xf numFmtId="0" fontId="5" fillId="3" borderId="0" xfId="0" applyFont="1" applyFill="1" applyAlignment="1">
      <alignment vertical="center"/>
    </xf>
    <xf numFmtId="0" fontId="2" fillId="2" borderId="13" xfId="0" applyFont="1" applyFill="1" applyBorder="1" applyAlignment="1">
      <alignment vertical="top" wrapText="1"/>
    </xf>
    <xf numFmtId="0" fontId="2" fillId="2" borderId="14" xfId="0" applyFont="1" applyFill="1" applyBorder="1" applyAlignment="1">
      <alignment vertical="top" wrapText="1"/>
    </xf>
    <xf numFmtId="0" fontId="2" fillId="2" borderId="0" xfId="0" applyFont="1" applyFill="1" applyAlignment="1">
      <alignment vertical="top" wrapText="1"/>
    </xf>
    <xf numFmtId="0" fontId="2" fillId="2" borderId="8" xfId="0" applyFont="1" applyFill="1" applyBorder="1" applyAlignment="1">
      <alignment vertical="top" wrapText="1"/>
    </xf>
    <xf numFmtId="0" fontId="2" fillId="2" borderId="17" xfId="0" applyFont="1" applyFill="1" applyBorder="1" applyAlignment="1">
      <alignment vertical="top" wrapText="1"/>
    </xf>
    <xf numFmtId="0" fontId="2" fillId="2" borderId="18" xfId="0" applyFont="1" applyFill="1" applyBorder="1" applyAlignment="1">
      <alignment vertical="top" wrapText="1"/>
    </xf>
  </cellXfs>
  <cellStyles count="3">
    <cellStyle name="Currency" xfId="1" builtinId="4"/>
    <cellStyle name="Normal" xfId="0" builtinId="0"/>
    <cellStyle name="Percent" xfId="2" builtinId="5"/>
  </cellStyles>
  <dxfs count="5">
    <dxf>
      <font>
        <b val="0"/>
        <i val="0"/>
        <u val="none"/>
        <color theme="1"/>
      </font>
      <fill>
        <patternFill>
          <bgColor theme="0"/>
        </patternFill>
      </fill>
    </dxf>
    <dxf>
      <font>
        <b val="0"/>
        <i val="0"/>
        <color theme="1"/>
      </font>
      <fill>
        <patternFill>
          <bgColor theme="0"/>
        </patternFill>
      </fill>
    </dxf>
    <dxf>
      <font>
        <b val="0"/>
        <i val="0"/>
      </font>
      <fill>
        <patternFill>
          <bgColor theme="2"/>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dSupportingPropertyBagStructure" Target="richData/rdsupportingpropertybagstructure.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ichStyles" Target="richData/rich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Array" Target="richData/rdarray.xml"/><Relationship Id="rId5" Type="http://schemas.openxmlformats.org/officeDocument/2006/relationships/theme" Target="theme/theme1.xml"/><Relationship Id="rId15" Type="http://schemas.microsoft.com/office/2017/06/relationships/rdRichValueTypes" Target="richData/rdRichValueTypes.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 Id="rId14" Type="http://schemas.microsoft.com/office/2017/06/relationships/rdSupportingPropertyBag" Target="richData/rdsupporting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 of</a:t>
            </a:r>
            <a:r>
              <a:rPr lang="en-US" baseline="0"/>
              <a:t> Simulated UK Banking Portfolio (July 2025- June 2026)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2013218019878658E-2"/>
          <c:y val="8.2871596357717861E-2"/>
          <c:w val="0.90700317542274433"/>
          <c:h val="0.86530717459200279"/>
        </c:manualLayout>
      </c:layout>
      <c:lineChart>
        <c:grouping val="standard"/>
        <c:varyColors val="0"/>
        <c:ser>
          <c:idx val="0"/>
          <c:order val="0"/>
          <c:tx>
            <c:strRef>
              <c:f>'Weekly Updates'!$F$1</c:f>
              <c:strCache>
                <c:ptCount val="1"/>
                <c:pt idx="0">
                  <c:v>Portfolio Value</c:v>
                </c:pt>
              </c:strCache>
            </c:strRef>
          </c:tx>
          <c:spPr>
            <a:ln w="28575" cap="rnd">
              <a:solidFill>
                <a:schemeClr val="accent1"/>
              </a:solidFill>
              <a:round/>
            </a:ln>
            <a:effectLst/>
          </c:spPr>
          <c:marker>
            <c:symbol val="circle"/>
            <c:size val="5"/>
            <c:spPr>
              <a:solidFill>
                <a:schemeClr val="accent1"/>
              </a:solidFill>
              <a:ln w="9525">
                <a:noFill/>
              </a:ln>
              <a:effectLst/>
            </c:spPr>
          </c:marker>
          <c:dLbls>
            <c:delete val="1"/>
          </c:dLbls>
          <c:cat>
            <c:numRef>
              <c:f>'Weekly Updates'!$A$2:$A$52</c:f>
              <c:numCache>
                <c:formatCode>m/d/yyyy</c:formatCode>
                <c:ptCount val="51"/>
                <c:pt idx="0">
                  <c:v>45839</c:v>
                </c:pt>
                <c:pt idx="1">
                  <c:v>45845</c:v>
                </c:pt>
                <c:pt idx="2">
                  <c:v>45852</c:v>
                </c:pt>
                <c:pt idx="3">
                  <c:v>45859</c:v>
                </c:pt>
                <c:pt idx="4">
                  <c:v>45866</c:v>
                </c:pt>
                <c:pt idx="5">
                  <c:v>45873</c:v>
                </c:pt>
                <c:pt idx="6">
                  <c:v>45880</c:v>
                </c:pt>
                <c:pt idx="7">
                  <c:v>45887</c:v>
                </c:pt>
                <c:pt idx="8">
                  <c:v>45894</c:v>
                </c:pt>
                <c:pt idx="9">
                  <c:v>45901</c:v>
                </c:pt>
                <c:pt idx="10">
                  <c:v>45908</c:v>
                </c:pt>
                <c:pt idx="11">
                  <c:v>45915</c:v>
                </c:pt>
                <c:pt idx="12">
                  <c:v>45922</c:v>
                </c:pt>
                <c:pt idx="13">
                  <c:v>45929</c:v>
                </c:pt>
                <c:pt idx="14">
                  <c:v>45936</c:v>
                </c:pt>
                <c:pt idx="15">
                  <c:v>45943</c:v>
                </c:pt>
                <c:pt idx="16">
                  <c:v>45950</c:v>
                </c:pt>
                <c:pt idx="17">
                  <c:v>45957</c:v>
                </c:pt>
                <c:pt idx="18">
                  <c:v>45964</c:v>
                </c:pt>
                <c:pt idx="19">
                  <c:v>45971</c:v>
                </c:pt>
                <c:pt idx="20">
                  <c:v>45978</c:v>
                </c:pt>
                <c:pt idx="21">
                  <c:v>45985</c:v>
                </c:pt>
                <c:pt idx="22">
                  <c:v>45992</c:v>
                </c:pt>
                <c:pt idx="23">
                  <c:v>45999</c:v>
                </c:pt>
                <c:pt idx="24">
                  <c:v>46006</c:v>
                </c:pt>
                <c:pt idx="25">
                  <c:v>46013</c:v>
                </c:pt>
                <c:pt idx="26">
                  <c:v>46020</c:v>
                </c:pt>
                <c:pt idx="27">
                  <c:v>46027</c:v>
                </c:pt>
                <c:pt idx="28">
                  <c:v>46034</c:v>
                </c:pt>
                <c:pt idx="29">
                  <c:v>46041</c:v>
                </c:pt>
                <c:pt idx="30">
                  <c:v>46048</c:v>
                </c:pt>
                <c:pt idx="31">
                  <c:v>46055</c:v>
                </c:pt>
                <c:pt idx="32">
                  <c:v>46062</c:v>
                </c:pt>
                <c:pt idx="33">
                  <c:v>46069</c:v>
                </c:pt>
                <c:pt idx="34">
                  <c:v>46076</c:v>
                </c:pt>
                <c:pt idx="35">
                  <c:v>46083</c:v>
                </c:pt>
                <c:pt idx="36">
                  <c:v>46090</c:v>
                </c:pt>
                <c:pt idx="37">
                  <c:v>46097</c:v>
                </c:pt>
                <c:pt idx="38">
                  <c:v>46104</c:v>
                </c:pt>
                <c:pt idx="39">
                  <c:v>46111</c:v>
                </c:pt>
                <c:pt idx="40">
                  <c:v>46119</c:v>
                </c:pt>
                <c:pt idx="41">
                  <c:v>46125</c:v>
                </c:pt>
                <c:pt idx="42">
                  <c:v>46132</c:v>
                </c:pt>
                <c:pt idx="43">
                  <c:v>46139</c:v>
                </c:pt>
                <c:pt idx="44">
                  <c:v>46146</c:v>
                </c:pt>
                <c:pt idx="45">
                  <c:v>46153</c:v>
                </c:pt>
                <c:pt idx="46">
                  <c:v>46160</c:v>
                </c:pt>
                <c:pt idx="47">
                  <c:v>46167</c:v>
                </c:pt>
                <c:pt idx="48">
                  <c:v>46174</c:v>
                </c:pt>
                <c:pt idx="49">
                  <c:v>46181</c:v>
                </c:pt>
                <c:pt idx="50">
                  <c:v>46188</c:v>
                </c:pt>
              </c:numCache>
            </c:numRef>
          </c:cat>
          <c:val>
            <c:numRef>
              <c:f>'Weekly Updates'!$F$2:$F$52</c:f>
              <c:numCache>
                <c:formatCode>_("£"* #,##0.00_);_("£"* \(#,##0.00\);_("£"* "-"??_);_(@_)</c:formatCode>
                <c:ptCount val="51"/>
                <c:pt idx="0">
                  <c:v>9993.9827999999998</c:v>
                </c:pt>
                <c:pt idx="1">
                  <c:v>10115.011399999999</c:v>
                </c:pt>
                <c:pt idx="2">
                  <c:v>10345.527</c:v>
                </c:pt>
                <c:pt idx="3">
                  <c:v>10655.7932</c:v>
                </c:pt>
                <c:pt idx="4">
                  <c:v>10364.5182</c:v>
                </c:pt>
                <c:pt idx="5">
                  <c:v>10737.5622</c:v>
                </c:pt>
                <c:pt idx="6">
                  <c:v>10926.4694</c:v>
                </c:pt>
                <c:pt idx="7">
                  <c:v>11182.987000000001</c:v>
                </c:pt>
                <c:pt idx="8">
                  <c:v>10594.338599999999</c:v>
                </c:pt>
                <c:pt idx="9">
                  <c:v>10617.9018</c:v>
                </c:pt>
                <c:pt idx="10">
                  <c:v>11110.162</c:v>
                </c:pt>
                <c:pt idx="11">
                  <c:v>11083.883199999998</c:v>
                </c:pt>
                <c:pt idx="12">
                  <c:v>11189.646000000001</c:v>
                </c:pt>
                <c:pt idx="13">
                  <c:v>11458.461800000001</c:v>
                </c:pt>
                <c:pt idx="14">
                  <c:v>11086.528</c:v>
                </c:pt>
                <c:pt idx="15">
                  <c:v>10829.278200000001</c:v>
                </c:pt>
                <c:pt idx="16">
                  <c:v>11485.543799999999</c:v>
                </c:pt>
                <c:pt idx="17">
                  <c:v>11960.9264</c:v>
                </c:pt>
                <c:pt idx="18">
                  <c:v>12088.183999999999</c:v>
                </c:pt>
                <c:pt idx="19">
                  <c:v>12290.737000000001</c:v>
                </c:pt>
                <c:pt idx="20">
                  <c:v>11697.547600000002</c:v>
                </c:pt>
                <c:pt idx="21">
                  <c:v>12627.787200000001</c:v>
                </c:pt>
                <c:pt idx="22">
                  <c:v>12550.5648</c:v>
                </c:pt>
                <c:pt idx="23">
                  <c:v>12674.254600000002</c:v>
                </c:pt>
                <c:pt idx="24">
                  <c:v>13303.5916</c:v>
                </c:pt>
                <c:pt idx="25">
                  <c:v>13329.977000000001</c:v>
                </c:pt>
                <c:pt idx="26">
                  <c:v>13578.049199999999</c:v>
                </c:pt>
                <c:pt idx="27">
                  <c:v>13585.863000000001</c:v>
                </c:pt>
                <c:pt idx="28">
                  <c:v>13834.758</c:v>
                </c:pt>
                <c:pt idx="29">
                  <c:v>13720.716499999999</c:v>
                </c:pt>
                <c:pt idx="30">
                  <c:v>14253.123500000002</c:v>
                </c:pt>
                <c:pt idx="31">
                  <c:v>14156.9635</c:v>
                </c:pt>
                <c:pt idx="32">
                  <c:v>13171.59</c:v>
                </c:pt>
                <c:pt idx="33">
                  <c:v>13768.221500000001</c:v>
                </c:pt>
                <c:pt idx="34">
                  <c:v>13868.043500000002</c:v>
                </c:pt>
                <c:pt idx="35">
                  <c:v>12626.191600000002</c:v>
                </c:pt>
                <c:pt idx="36">
                  <c:v>12212.7304</c:v>
                </c:pt>
                <c:pt idx="37">
                  <c:v>11676.8534</c:v>
                </c:pt>
                <c:pt idx="38">
                  <c:v>11989.3812</c:v>
                </c:pt>
                <c:pt idx="39">
                  <c:v>12822.3292</c:v>
                </c:pt>
                <c:pt idx="40">
                  <c:v>13551.323</c:v>
                </c:pt>
                <c:pt idx="41">
                  <c:v>13908.784600000001</c:v>
                </c:pt>
                <c:pt idx="42">
                  <c:v>13091.372100000001</c:v>
                </c:pt>
                <c:pt idx="43">
                  <c:v>13221.386200000001</c:v>
                </c:pt>
                <c:pt idx="44">
                  <c:v>13213.781899999998</c:v>
                </c:pt>
                <c:pt idx="45">
                  <c:v>12881.853800000001</c:v>
                </c:pt>
                <c:pt idx="46">
                  <c:v>13492.342000000001</c:v>
                </c:pt>
                <c:pt idx="47">
                  <c:v>13791.092000000001</c:v>
                </c:pt>
                <c:pt idx="48">
                  <c:v>13577.113799999999</c:v>
                </c:pt>
                <c:pt idx="49">
                  <c:v>13932.770500000001</c:v>
                </c:pt>
                <c:pt idx="50">
                  <c:v>14158.3315</c:v>
                </c:pt>
              </c:numCache>
            </c:numRef>
          </c:val>
          <c:smooth val="1"/>
          <c:extLst>
            <c:ext xmlns:c16="http://schemas.microsoft.com/office/drawing/2014/chart" uri="{C3380CC4-5D6E-409C-BE32-E72D297353CC}">
              <c16:uniqueId val="{00000000-8E02-D546-A0DB-6071AB8A6202}"/>
            </c:ext>
          </c:extLst>
        </c:ser>
        <c:dLbls>
          <c:dLblPos val="ctr"/>
          <c:showLegendKey val="0"/>
          <c:showVal val="1"/>
          <c:showCatName val="0"/>
          <c:showSerName val="0"/>
          <c:showPercent val="0"/>
          <c:showBubbleSize val="0"/>
        </c:dLbls>
        <c:marker val="1"/>
        <c:smooth val="0"/>
        <c:axId val="690118287"/>
        <c:axId val="690849455"/>
      </c:lineChart>
      <c:dateAx>
        <c:axId val="690118287"/>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849455"/>
        <c:crosses val="autoZero"/>
        <c:auto val="1"/>
        <c:lblOffset val="100"/>
        <c:baseTimeUnit val="days"/>
      </c:dateAx>
      <c:valAx>
        <c:axId val="690849455"/>
        <c:scaling>
          <c:orientation val="minMax"/>
          <c:min val="9000"/>
        </c:scaling>
        <c:delete val="0"/>
        <c:axPos val="l"/>
        <c:majorGridlines>
          <c:spPr>
            <a:ln w="9525" cap="flat" cmpd="sng" algn="ctr">
              <a:solidFill>
                <a:schemeClr val="accent1"/>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1182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Weekly</a:t>
            </a:r>
            <a:r>
              <a:rPr lang="en-GB" baseline="0"/>
              <a:t> Share Price Peformance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6892241925677576E-2"/>
          <c:y val="8.8227496176999903E-2"/>
          <c:w val="0.89677678475234734"/>
          <c:h val="0.72177885387417473"/>
        </c:manualLayout>
      </c:layout>
      <c:lineChart>
        <c:grouping val="standard"/>
        <c:varyColors val="0"/>
        <c:ser>
          <c:idx val="0"/>
          <c:order val="0"/>
          <c:tx>
            <c:strRef>
              <c:f>'Weekly Updates'!$B$1</c:f>
              <c:strCache>
                <c:ptCount val="1"/>
                <c:pt idx="0">
                  <c:v>Barclays</c:v>
                </c:pt>
              </c:strCache>
            </c:strRef>
          </c:tx>
          <c:spPr>
            <a:ln w="28575" cap="rnd">
              <a:solidFill>
                <a:schemeClr val="accent1"/>
              </a:solidFill>
              <a:round/>
            </a:ln>
            <a:effectLst/>
          </c:spPr>
          <c:marker>
            <c:symbol val="none"/>
          </c:marker>
          <c:cat>
            <c:numRef>
              <c:f>'Weekly Updates'!$A$2:$A$52</c:f>
              <c:numCache>
                <c:formatCode>m/d/yyyy</c:formatCode>
                <c:ptCount val="51"/>
                <c:pt idx="0">
                  <c:v>45839</c:v>
                </c:pt>
                <c:pt idx="1">
                  <c:v>45845</c:v>
                </c:pt>
                <c:pt idx="2">
                  <c:v>45852</c:v>
                </c:pt>
                <c:pt idx="3">
                  <c:v>45859</c:v>
                </c:pt>
                <c:pt idx="4">
                  <c:v>45866</c:v>
                </c:pt>
                <c:pt idx="5">
                  <c:v>45873</c:v>
                </c:pt>
                <c:pt idx="6">
                  <c:v>45880</c:v>
                </c:pt>
                <c:pt idx="7">
                  <c:v>45887</c:v>
                </c:pt>
                <c:pt idx="8">
                  <c:v>45894</c:v>
                </c:pt>
                <c:pt idx="9">
                  <c:v>45901</c:v>
                </c:pt>
                <c:pt idx="10">
                  <c:v>45908</c:v>
                </c:pt>
                <c:pt idx="11">
                  <c:v>45915</c:v>
                </c:pt>
                <c:pt idx="12">
                  <c:v>45922</c:v>
                </c:pt>
                <c:pt idx="13">
                  <c:v>45929</c:v>
                </c:pt>
                <c:pt idx="14">
                  <c:v>45936</c:v>
                </c:pt>
                <c:pt idx="15">
                  <c:v>45943</c:v>
                </c:pt>
                <c:pt idx="16">
                  <c:v>45950</c:v>
                </c:pt>
                <c:pt idx="17">
                  <c:v>45957</c:v>
                </c:pt>
                <c:pt idx="18">
                  <c:v>45964</c:v>
                </c:pt>
                <c:pt idx="19">
                  <c:v>45971</c:v>
                </c:pt>
                <c:pt idx="20">
                  <c:v>45978</c:v>
                </c:pt>
                <c:pt idx="21">
                  <c:v>45985</c:v>
                </c:pt>
                <c:pt idx="22">
                  <c:v>45992</c:v>
                </c:pt>
                <c:pt idx="23">
                  <c:v>45999</c:v>
                </c:pt>
                <c:pt idx="24">
                  <c:v>46006</c:v>
                </c:pt>
                <c:pt idx="25">
                  <c:v>46013</c:v>
                </c:pt>
                <c:pt idx="26">
                  <c:v>46020</c:v>
                </c:pt>
                <c:pt idx="27">
                  <c:v>46027</c:v>
                </c:pt>
                <c:pt idx="28">
                  <c:v>46034</c:v>
                </c:pt>
                <c:pt idx="29">
                  <c:v>46041</c:v>
                </c:pt>
                <c:pt idx="30">
                  <c:v>46048</c:v>
                </c:pt>
                <c:pt idx="31">
                  <c:v>46055</c:v>
                </c:pt>
                <c:pt idx="32">
                  <c:v>46062</c:v>
                </c:pt>
                <c:pt idx="33">
                  <c:v>46069</c:v>
                </c:pt>
                <c:pt idx="34">
                  <c:v>46076</c:v>
                </c:pt>
                <c:pt idx="35">
                  <c:v>46083</c:v>
                </c:pt>
                <c:pt idx="36">
                  <c:v>46090</c:v>
                </c:pt>
                <c:pt idx="37">
                  <c:v>46097</c:v>
                </c:pt>
                <c:pt idx="38">
                  <c:v>46104</c:v>
                </c:pt>
                <c:pt idx="39">
                  <c:v>46111</c:v>
                </c:pt>
                <c:pt idx="40">
                  <c:v>46119</c:v>
                </c:pt>
                <c:pt idx="41">
                  <c:v>46125</c:v>
                </c:pt>
                <c:pt idx="42">
                  <c:v>46132</c:v>
                </c:pt>
                <c:pt idx="43">
                  <c:v>46139</c:v>
                </c:pt>
                <c:pt idx="44">
                  <c:v>46146</c:v>
                </c:pt>
                <c:pt idx="45">
                  <c:v>46153</c:v>
                </c:pt>
                <c:pt idx="46">
                  <c:v>46160</c:v>
                </c:pt>
                <c:pt idx="47">
                  <c:v>46167</c:v>
                </c:pt>
                <c:pt idx="48">
                  <c:v>46174</c:v>
                </c:pt>
                <c:pt idx="49">
                  <c:v>46181</c:v>
                </c:pt>
                <c:pt idx="50">
                  <c:v>46188</c:v>
                </c:pt>
              </c:numCache>
            </c:numRef>
          </c:cat>
          <c:val>
            <c:numRef>
              <c:f>'Weekly Updates'!$B$2:$B$52</c:f>
              <c:numCache>
                <c:formatCode>_(* #,##0.00_);_(* \(#,##0.00\);_(* "-"??_);_(@_)</c:formatCode>
                <c:ptCount val="51"/>
                <c:pt idx="0" formatCode="0.00">
                  <c:v>329.7</c:v>
                </c:pt>
                <c:pt idx="1">
                  <c:v>340</c:v>
                </c:pt>
                <c:pt idx="2">
                  <c:v>349.65</c:v>
                </c:pt>
                <c:pt idx="3">
                  <c:v>360.5</c:v>
                </c:pt>
                <c:pt idx="4">
                  <c:v>356.65</c:v>
                </c:pt>
                <c:pt idx="5">
                  <c:v>367.95</c:v>
                </c:pt>
                <c:pt idx="6">
                  <c:v>371.15</c:v>
                </c:pt>
                <c:pt idx="7">
                  <c:v>376.45</c:v>
                </c:pt>
                <c:pt idx="8">
                  <c:v>360.4</c:v>
                </c:pt>
                <c:pt idx="9">
                  <c:v>361.05</c:v>
                </c:pt>
                <c:pt idx="10">
                  <c:v>380.1</c:v>
                </c:pt>
                <c:pt idx="11">
                  <c:v>381.65</c:v>
                </c:pt>
                <c:pt idx="12">
                  <c:v>382.6</c:v>
                </c:pt>
                <c:pt idx="13">
                  <c:v>385.35</c:v>
                </c:pt>
                <c:pt idx="14">
                  <c:v>372.5</c:v>
                </c:pt>
                <c:pt idx="15">
                  <c:v>357.8</c:v>
                </c:pt>
                <c:pt idx="16">
                  <c:v>388.3</c:v>
                </c:pt>
                <c:pt idx="17">
                  <c:v>407</c:v>
                </c:pt>
                <c:pt idx="18">
                  <c:v>404.7</c:v>
                </c:pt>
                <c:pt idx="19">
                  <c:v>413.5</c:v>
                </c:pt>
                <c:pt idx="20">
                  <c:v>392.2</c:v>
                </c:pt>
                <c:pt idx="21">
                  <c:v>430.25</c:v>
                </c:pt>
                <c:pt idx="22">
                  <c:v>434.4</c:v>
                </c:pt>
                <c:pt idx="23">
                  <c:v>444.35</c:v>
                </c:pt>
                <c:pt idx="24">
                  <c:v>468.95</c:v>
                </c:pt>
                <c:pt idx="25">
                  <c:v>469.75</c:v>
                </c:pt>
                <c:pt idx="26">
                  <c:v>479.5</c:v>
                </c:pt>
                <c:pt idx="27">
                  <c:v>484.9</c:v>
                </c:pt>
                <c:pt idx="28">
                  <c:v>488.95</c:v>
                </c:pt>
                <c:pt idx="29">
                  <c:v>480.3</c:v>
                </c:pt>
                <c:pt idx="30">
                  <c:v>486.2</c:v>
                </c:pt>
                <c:pt idx="31">
                  <c:v>479.1</c:v>
                </c:pt>
                <c:pt idx="32">
                  <c:v>454</c:v>
                </c:pt>
                <c:pt idx="33">
                  <c:v>473.8</c:v>
                </c:pt>
                <c:pt idx="34">
                  <c:v>452.85</c:v>
                </c:pt>
                <c:pt idx="35">
                  <c:v>404.15</c:v>
                </c:pt>
                <c:pt idx="36">
                  <c:v>386.25</c:v>
                </c:pt>
                <c:pt idx="37">
                  <c:v>373.9</c:v>
                </c:pt>
                <c:pt idx="38">
                  <c:v>382.2</c:v>
                </c:pt>
                <c:pt idx="39">
                  <c:v>408.75</c:v>
                </c:pt>
                <c:pt idx="40">
                  <c:v>441</c:v>
                </c:pt>
                <c:pt idx="41">
                  <c:v>452.85</c:v>
                </c:pt>
                <c:pt idx="42">
                  <c:v>424.1</c:v>
                </c:pt>
                <c:pt idx="43">
                  <c:v>433.75</c:v>
                </c:pt>
                <c:pt idx="44">
                  <c:v>435</c:v>
                </c:pt>
                <c:pt idx="45">
                  <c:v>423.3</c:v>
                </c:pt>
                <c:pt idx="46">
                  <c:v>445.8</c:v>
                </c:pt>
                <c:pt idx="47">
                  <c:v>457.95</c:v>
                </c:pt>
                <c:pt idx="48">
                  <c:v>457.65</c:v>
                </c:pt>
                <c:pt idx="49">
                  <c:v>472.85</c:v>
                </c:pt>
                <c:pt idx="50">
                  <c:v>496.45</c:v>
                </c:pt>
              </c:numCache>
            </c:numRef>
          </c:val>
          <c:smooth val="0"/>
          <c:extLst>
            <c:ext xmlns:c16="http://schemas.microsoft.com/office/drawing/2014/chart" uri="{C3380CC4-5D6E-409C-BE32-E72D297353CC}">
              <c16:uniqueId val="{00000000-0738-254C-8312-7EE9492CCCEB}"/>
            </c:ext>
          </c:extLst>
        </c:ser>
        <c:ser>
          <c:idx val="1"/>
          <c:order val="1"/>
          <c:tx>
            <c:strRef>
              <c:f>'Weekly Updates'!$C$1</c:f>
              <c:strCache>
                <c:ptCount val="1"/>
                <c:pt idx="0">
                  <c:v>HSBC</c:v>
                </c:pt>
              </c:strCache>
            </c:strRef>
          </c:tx>
          <c:spPr>
            <a:ln w="28575" cap="rnd">
              <a:solidFill>
                <a:srgbClr val="FF0000"/>
              </a:solidFill>
              <a:round/>
            </a:ln>
            <a:effectLst/>
          </c:spPr>
          <c:marker>
            <c:symbol val="none"/>
          </c:marker>
          <c:cat>
            <c:numRef>
              <c:f>'Weekly Updates'!$A$2:$A$52</c:f>
              <c:numCache>
                <c:formatCode>m/d/yyyy</c:formatCode>
                <c:ptCount val="51"/>
                <c:pt idx="0">
                  <c:v>45839</c:v>
                </c:pt>
                <c:pt idx="1">
                  <c:v>45845</c:v>
                </c:pt>
                <c:pt idx="2">
                  <c:v>45852</c:v>
                </c:pt>
                <c:pt idx="3">
                  <c:v>45859</c:v>
                </c:pt>
                <c:pt idx="4">
                  <c:v>45866</c:v>
                </c:pt>
                <c:pt idx="5">
                  <c:v>45873</c:v>
                </c:pt>
                <c:pt idx="6">
                  <c:v>45880</c:v>
                </c:pt>
                <c:pt idx="7">
                  <c:v>45887</c:v>
                </c:pt>
                <c:pt idx="8">
                  <c:v>45894</c:v>
                </c:pt>
                <c:pt idx="9">
                  <c:v>45901</c:v>
                </c:pt>
                <c:pt idx="10">
                  <c:v>45908</c:v>
                </c:pt>
                <c:pt idx="11">
                  <c:v>45915</c:v>
                </c:pt>
                <c:pt idx="12">
                  <c:v>45922</c:v>
                </c:pt>
                <c:pt idx="13">
                  <c:v>45929</c:v>
                </c:pt>
                <c:pt idx="14">
                  <c:v>45936</c:v>
                </c:pt>
                <c:pt idx="15">
                  <c:v>45943</c:v>
                </c:pt>
                <c:pt idx="16">
                  <c:v>45950</c:v>
                </c:pt>
                <c:pt idx="17">
                  <c:v>45957</c:v>
                </c:pt>
                <c:pt idx="18">
                  <c:v>45964</c:v>
                </c:pt>
                <c:pt idx="19">
                  <c:v>45971</c:v>
                </c:pt>
                <c:pt idx="20">
                  <c:v>45978</c:v>
                </c:pt>
                <c:pt idx="21">
                  <c:v>45985</c:v>
                </c:pt>
                <c:pt idx="22">
                  <c:v>45992</c:v>
                </c:pt>
                <c:pt idx="23">
                  <c:v>45999</c:v>
                </c:pt>
                <c:pt idx="24">
                  <c:v>46006</c:v>
                </c:pt>
                <c:pt idx="25">
                  <c:v>46013</c:v>
                </c:pt>
                <c:pt idx="26">
                  <c:v>46020</c:v>
                </c:pt>
                <c:pt idx="27">
                  <c:v>46027</c:v>
                </c:pt>
                <c:pt idx="28">
                  <c:v>46034</c:v>
                </c:pt>
                <c:pt idx="29">
                  <c:v>46041</c:v>
                </c:pt>
                <c:pt idx="30">
                  <c:v>46048</c:v>
                </c:pt>
                <c:pt idx="31">
                  <c:v>46055</c:v>
                </c:pt>
                <c:pt idx="32">
                  <c:v>46062</c:v>
                </c:pt>
                <c:pt idx="33">
                  <c:v>46069</c:v>
                </c:pt>
                <c:pt idx="34">
                  <c:v>46076</c:v>
                </c:pt>
                <c:pt idx="35">
                  <c:v>46083</c:v>
                </c:pt>
                <c:pt idx="36">
                  <c:v>46090</c:v>
                </c:pt>
                <c:pt idx="37">
                  <c:v>46097</c:v>
                </c:pt>
                <c:pt idx="38">
                  <c:v>46104</c:v>
                </c:pt>
                <c:pt idx="39">
                  <c:v>46111</c:v>
                </c:pt>
                <c:pt idx="40">
                  <c:v>46119</c:v>
                </c:pt>
                <c:pt idx="41">
                  <c:v>46125</c:v>
                </c:pt>
                <c:pt idx="42">
                  <c:v>46132</c:v>
                </c:pt>
                <c:pt idx="43">
                  <c:v>46139</c:v>
                </c:pt>
                <c:pt idx="44">
                  <c:v>46146</c:v>
                </c:pt>
                <c:pt idx="45">
                  <c:v>46153</c:v>
                </c:pt>
                <c:pt idx="46">
                  <c:v>46160</c:v>
                </c:pt>
                <c:pt idx="47">
                  <c:v>46167</c:v>
                </c:pt>
                <c:pt idx="48">
                  <c:v>46174</c:v>
                </c:pt>
                <c:pt idx="49">
                  <c:v>46181</c:v>
                </c:pt>
                <c:pt idx="50">
                  <c:v>46188</c:v>
                </c:pt>
              </c:numCache>
            </c:numRef>
          </c:cat>
          <c:val>
            <c:numRef>
              <c:f>'Weekly Updates'!$C$2:$C$52</c:f>
              <c:numCache>
                <c:formatCode>General</c:formatCode>
                <c:ptCount val="51"/>
                <c:pt idx="0" formatCode="0.00">
                  <c:v>870.6</c:v>
                </c:pt>
                <c:pt idx="1">
                  <c:v>910.5</c:v>
                </c:pt>
                <c:pt idx="2" formatCode="0.0">
                  <c:v>933</c:v>
                </c:pt>
                <c:pt idx="3" formatCode="_(* #,##0.00_);_(* \(#,##0.00\);_(* &quot;-&quot;??_);_(@_)">
                  <c:v>958.4</c:v>
                </c:pt>
                <c:pt idx="4" formatCode="_(* #,##0.00_);_(* \(#,##0.00\);_(* &quot;-&quot;??_);_(@_)">
                  <c:v>917.9</c:v>
                </c:pt>
                <c:pt idx="5" formatCode="_(* #,##0.00_);_(* \(#,##0.00\);_(* &quot;-&quot;??_);_(@_)">
                  <c:v>939.3</c:v>
                </c:pt>
                <c:pt idx="6" formatCode="_(* #,##0.00_);_(* \(#,##0.00\);_(* &quot;-&quot;??_);_(@_)">
                  <c:v>938.9</c:v>
                </c:pt>
                <c:pt idx="7" formatCode="_(* #,##0.00_);_(* \(#,##0.00\);_(* &quot;-&quot;??_);_(@_)">
                  <c:v>967.3</c:v>
                </c:pt>
                <c:pt idx="8" formatCode="_(* #,##0.00_);_(* \(#,##0.00\);_(* &quot;-&quot;??_);_(@_)">
                  <c:v>946.7</c:v>
                </c:pt>
                <c:pt idx="9" formatCode="_(* #,##0.00_);_(* \(#,##0.00\);_(* &quot;-&quot;??_);_(@_)">
                  <c:v>963</c:v>
                </c:pt>
                <c:pt idx="10" formatCode="_(* #,##0.00_);_(* \(#,##0.00\);_(* &quot;-&quot;??_);_(@_)">
                  <c:v>1007</c:v>
                </c:pt>
                <c:pt idx="11" formatCode="_(* #,##0.00_);_(* \(#,##0.00\);_(* &quot;-&quot;??_);_(@_)">
                  <c:v>1027.8</c:v>
                </c:pt>
                <c:pt idx="12" formatCode="_(* #,##0.00_);_(* \(#,##0.00\);_(* &quot;-&quot;??_);_(@_)">
                  <c:v>1038.8</c:v>
                </c:pt>
                <c:pt idx="13" formatCode="_(* #,##0.00_);_(* \(#,##0.00\);_(* &quot;-&quot;??_);_(@_)">
                  <c:v>1061.8</c:v>
                </c:pt>
                <c:pt idx="14" formatCode="_(* #,##0.00_);_(* \(#,##0.00\);_(* &quot;-&quot;??_);_(@_)">
                  <c:v>993.9</c:v>
                </c:pt>
                <c:pt idx="15" formatCode="_(* #,##0.00_);_(* \(#,##0.00\);_(* &quot;-&quot;??_);_(@_)">
                  <c:v>964.3</c:v>
                </c:pt>
                <c:pt idx="16" formatCode="_(* #,##0.00_);_(* \(#,##0.00\);_(* &quot;-&quot;??_);_(@_)">
                  <c:v>1004</c:v>
                </c:pt>
                <c:pt idx="17" formatCode="_(* #,##0.00_);_(* \(#,##0.00\);_(* &quot;-&quot;??_);_(@_)">
                  <c:v>1063.4000000000001</c:v>
                </c:pt>
                <c:pt idx="18" formatCode="_(* #,##0.00_);_(* \(#,##0.00\);_(* &quot;-&quot;??_);_(@_)">
                  <c:v>1070.8</c:v>
                </c:pt>
                <c:pt idx="19" formatCode="_(* #,##0.00_);_(* \(#,##0.00\);_(* &quot;-&quot;??_);_(@_)">
                  <c:v>1104.4000000000001</c:v>
                </c:pt>
                <c:pt idx="20" formatCode="_(* #,##0.00_);_(* \(#,##0.00\);_(* &quot;-&quot;??_);_(@_)">
                  <c:v>1041.4000000000001</c:v>
                </c:pt>
                <c:pt idx="21" formatCode="_(* #,##0.00_);_(* \(#,##0.00\);_(* &quot;-&quot;??_);_(@_)">
                  <c:v>1070.2</c:v>
                </c:pt>
                <c:pt idx="22" formatCode="_(* #,##0.00_);_(* \(#,##0.00\);_(* &quot;-&quot;??_);_(@_)">
                  <c:v>1062</c:v>
                </c:pt>
                <c:pt idx="23" formatCode="_(* #,##0.00_);_(* \(#,##0.00\);_(* &quot;-&quot;??_);_(@_)">
                  <c:v>1111.8</c:v>
                </c:pt>
                <c:pt idx="24" formatCode="_(* #,##0.00_);_(* \(#,##0.00\);_(* &quot;-&quot;??_);_(@_)">
                  <c:v>1167</c:v>
                </c:pt>
                <c:pt idx="25" formatCode="_(* #,##0.00_);_(* \(#,##0.00\);_(* &quot;-&quot;??_);_(@_)">
                  <c:v>1175.4000000000001</c:v>
                </c:pt>
                <c:pt idx="26" formatCode="_(* #,##0.00_);_(* \(#,##0.00\);_(* &quot;-&quot;??_);_(@_)">
                  <c:v>1191.8</c:v>
                </c:pt>
                <c:pt idx="27" formatCode="_(* #,##0.00_);_(* \(#,##0.00\);_(* &quot;-&quot;??_);_(@_)">
                  <c:v>1194.2</c:v>
                </c:pt>
                <c:pt idx="28" formatCode="_(* #,##0.00_);_(* \(#,##0.00\);_(* &quot;-&quot;??_);_(@_)">
                  <c:v>1232</c:v>
                </c:pt>
                <c:pt idx="29" formatCode="_(* #,##0.00_);_(* \(#,##0.00\);_(* &quot;-&quot;??_);_(@_)">
                  <c:v>1231</c:v>
                </c:pt>
                <c:pt idx="30" formatCode="_(* #,##0.00_);_(* \(#,##0.00\);_(* &quot;-&quot;??_);_(@_)">
                  <c:v>1285.4000000000001</c:v>
                </c:pt>
                <c:pt idx="31" formatCode="_(* #,##0.00_);_(* \(#,##0.00\);_(* &quot;-&quot;??_);_(@_)">
                  <c:v>1305.8</c:v>
                </c:pt>
                <c:pt idx="32" formatCode="_(* #,##0.00_);_(* \(#,##0.00\);_(* &quot;-&quot;??_);_(@_)">
                  <c:v>1238.5999999999999</c:v>
                </c:pt>
                <c:pt idx="33" formatCode="_(* #,##0.00_);_(* \(#,##0.00\);_(* &quot;-&quot;??_);_(@_)">
                  <c:v>1290</c:v>
                </c:pt>
                <c:pt idx="34" formatCode="_(* #,##0.00_);_(* \(#,##0.00\);_(* &quot;-&quot;??_);_(@_)">
                  <c:v>1393.6</c:v>
                </c:pt>
                <c:pt idx="35" formatCode="_(* #,##0.00_);_(* \(#,##0.00\);_(* &quot;-&quot;??_);_(@_)">
                  <c:v>1245</c:v>
                </c:pt>
                <c:pt idx="36" formatCode="_(* #,##0.00_);_(* \(#,##0.00\);_(* &quot;-&quot;??_);_(@_)">
                  <c:v>1180.4000000000001</c:v>
                </c:pt>
                <c:pt idx="37" formatCode="_(* #,##0.00_);_(* \(#,##0.00\);_(* &quot;-&quot;??_);_(@_)">
                  <c:v>1144.2</c:v>
                </c:pt>
                <c:pt idx="38" formatCode="_(* #,##0.00_);_(* \(#,##0.00\);_(* &quot;-&quot;??_);_(@_)">
                  <c:v>1200</c:v>
                </c:pt>
                <c:pt idx="39" formatCode="_(* #,##0.00_);_(* \(#,##0.00\);_(* &quot;-&quot;??_);_(@_)">
                  <c:v>1272.8</c:v>
                </c:pt>
                <c:pt idx="40" formatCode="_(* #,##0.00_);_(* \(#,##0.00\);_(* &quot;-&quot;??_);_(@_)">
                  <c:v>1340.2</c:v>
                </c:pt>
                <c:pt idx="41" formatCode="_(* #,##0.00_);_(* \(#,##0.00\);_(* &quot;-&quot;??_);_(@_)">
                  <c:v>1365.2</c:v>
                </c:pt>
                <c:pt idx="42" formatCode="_(* #,##0.00_);_(* \(#,##0.00\);_(* &quot;-&quot;??_);_(@_)">
                  <c:v>1321</c:v>
                </c:pt>
                <c:pt idx="43" formatCode="_(* #,##0.00_);_(* \(#,##0.00\);_(* &quot;-&quot;??_);_(@_)">
                  <c:v>1359.4</c:v>
                </c:pt>
                <c:pt idx="44" formatCode="_(* #,##0.00_);_(* \(#,##0.00\);_(* &quot;-&quot;??_);_(@_)">
                  <c:v>1319.8</c:v>
                </c:pt>
                <c:pt idx="45" formatCode="_(* #,##0.00_);_(* \(#,##0.00\);_(* &quot;-&quot;??_);_(@_)">
                  <c:v>1324</c:v>
                </c:pt>
                <c:pt idx="46" formatCode="_(* #,##0.00_);_(* \(#,##0.00\);_(* &quot;-&quot;??_);_(@_)">
                  <c:v>1374.2</c:v>
                </c:pt>
                <c:pt idx="47" formatCode="_(* #,##0.00_);_(* \(#,##0.00\);_(* &quot;-&quot;??_);_(@_)">
                  <c:v>1393.6</c:v>
                </c:pt>
                <c:pt idx="48" formatCode="_(* #,##0.00_);_(* \(#,##0.00\);_(* &quot;-&quot;??_);_(@_)">
                  <c:v>1360.8</c:v>
                </c:pt>
                <c:pt idx="49" formatCode="_(* #,##0.00_);_(* \(#,##0.00\);_(* &quot;-&quot;??_);_(@_)">
                  <c:v>1372.8</c:v>
                </c:pt>
                <c:pt idx="50" formatCode="_(* #,##0.00_);_(* \(#,##0.00\);_(* &quot;-&quot;??_);_(@_)">
                  <c:v>1384.6</c:v>
                </c:pt>
              </c:numCache>
            </c:numRef>
          </c:val>
          <c:smooth val="0"/>
          <c:extLst>
            <c:ext xmlns:c16="http://schemas.microsoft.com/office/drawing/2014/chart" uri="{C3380CC4-5D6E-409C-BE32-E72D297353CC}">
              <c16:uniqueId val="{00000001-0738-254C-8312-7EE9492CCCEB}"/>
            </c:ext>
          </c:extLst>
        </c:ser>
        <c:ser>
          <c:idx val="2"/>
          <c:order val="2"/>
          <c:tx>
            <c:strRef>
              <c:f>'Weekly Updates'!$D$1</c:f>
              <c:strCache>
                <c:ptCount val="1"/>
                <c:pt idx="0">
                  <c:v>Lloyds</c:v>
                </c:pt>
              </c:strCache>
            </c:strRef>
          </c:tx>
          <c:spPr>
            <a:ln w="28575" cap="rnd">
              <a:solidFill>
                <a:schemeClr val="accent6">
                  <a:lumMod val="75000"/>
                </a:schemeClr>
              </a:solidFill>
              <a:round/>
            </a:ln>
            <a:effectLst>
              <a:outerShdw sx="1000" sy="1000" algn="ctr" rotWithShape="0">
                <a:schemeClr val="bg2"/>
              </a:outerShdw>
            </a:effectLst>
          </c:spPr>
          <c:marker>
            <c:symbol val="none"/>
          </c:marker>
          <c:cat>
            <c:numRef>
              <c:f>'Weekly Updates'!$A$2:$A$52</c:f>
              <c:numCache>
                <c:formatCode>m/d/yyyy</c:formatCode>
                <c:ptCount val="51"/>
                <c:pt idx="0">
                  <c:v>45839</c:v>
                </c:pt>
                <c:pt idx="1">
                  <c:v>45845</c:v>
                </c:pt>
                <c:pt idx="2">
                  <c:v>45852</c:v>
                </c:pt>
                <c:pt idx="3">
                  <c:v>45859</c:v>
                </c:pt>
                <c:pt idx="4">
                  <c:v>45866</c:v>
                </c:pt>
                <c:pt idx="5">
                  <c:v>45873</c:v>
                </c:pt>
                <c:pt idx="6">
                  <c:v>45880</c:v>
                </c:pt>
                <c:pt idx="7">
                  <c:v>45887</c:v>
                </c:pt>
                <c:pt idx="8">
                  <c:v>45894</c:v>
                </c:pt>
                <c:pt idx="9">
                  <c:v>45901</c:v>
                </c:pt>
                <c:pt idx="10">
                  <c:v>45908</c:v>
                </c:pt>
                <c:pt idx="11">
                  <c:v>45915</c:v>
                </c:pt>
                <c:pt idx="12">
                  <c:v>45922</c:v>
                </c:pt>
                <c:pt idx="13">
                  <c:v>45929</c:v>
                </c:pt>
                <c:pt idx="14">
                  <c:v>45936</c:v>
                </c:pt>
                <c:pt idx="15">
                  <c:v>45943</c:v>
                </c:pt>
                <c:pt idx="16">
                  <c:v>45950</c:v>
                </c:pt>
                <c:pt idx="17">
                  <c:v>45957</c:v>
                </c:pt>
                <c:pt idx="18">
                  <c:v>45964</c:v>
                </c:pt>
                <c:pt idx="19">
                  <c:v>45971</c:v>
                </c:pt>
                <c:pt idx="20">
                  <c:v>45978</c:v>
                </c:pt>
                <c:pt idx="21">
                  <c:v>45985</c:v>
                </c:pt>
                <c:pt idx="22">
                  <c:v>45992</c:v>
                </c:pt>
                <c:pt idx="23">
                  <c:v>45999</c:v>
                </c:pt>
                <c:pt idx="24">
                  <c:v>46006</c:v>
                </c:pt>
                <c:pt idx="25">
                  <c:v>46013</c:v>
                </c:pt>
                <c:pt idx="26">
                  <c:v>46020</c:v>
                </c:pt>
                <c:pt idx="27">
                  <c:v>46027</c:v>
                </c:pt>
                <c:pt idx="28">
                  <c:v>46034</c:v>
                </c:pt>
                <c:pt idx="29">
                  <c:v>46041</c:v>
                </c:pt>
                <c:pt idx="30">
                  <c:v>46048</c:v>
                </c:pt>
                <c:pt idx="31">
                  <c:v>46055</c:v>
                </c:pt>
                <c:pt idx="32">
                  <c:v>46062</c:v>
                </c:pt>
                <c:pt idx="33">
                  <c:v>46069</c:v>
                </c:pt>
                <c:pt idx="34">
                  <c:v>46076</c:v>
                </c:pt>
                <c:pt idx="35">
                  <c:v>46083</c:v>
                </c:pt>
                <c:pt idx="36">
                  <c:v>46090</c:v>
                </c:pt>
                <c:pt idx="37">
                  <c:v>46097</c:v>
                </c:pt>
                <c:pt idx="38">
                  <c:v>46104</c:v>
                </c:pt>
                <c:pt idx="39">
                  <c:v>46111</c:v>
                </c:pt>
                <c:pt idx="40">
                  <c:v>46119</c:v>
                </c:pt>
                <c:pt idx="41">
                  <c:v>46125</c:v>
                </c:pt>
                <c:pt idx="42">
                  <c:v>46132</c:v>
                </c:pt>
                <c:pt idx="43">
                  <c:v>46139</c:v>
                </c:pt>
                <c:pt idx="44">
                  <c:v>46146</c:v>
                </c:pt>
                <c:pt idx="45">
                  <c:v>46153</c:v>
                </c:pt>
                <c:pt idx="46">
                  <c:v>46160</c:v>
                </c:pt>
                <c:pt idx="47">
                  <c:v>46167</c:v>
                </c:pt>
                <c:pt idx="48">
                  <c:v>46174</c:v>
                </c:pt>
                <c:pt idx="49">
                  <c:v>46181</c:v>
                </c:pt>
                <c:pt idx="50">
                  <c:v>46188</c:v>
                </c:pt>
              </c:numCache>
            </c:numRef>
          </c:cat>
          <c:val>
            <c:numRef>
              <c:f>'Weekly Updates'!$D$2:$D$52</c:f>
              <c:numCache>
                <c:formatCode>_(* #,##0.00_);_(* \(#,##0.00\);_(* "-"??_);_(@_)</c:formatCode>
                <c:ptCount val="51"/>
                <c:pt idx="0" formatCode="0.00">
                  <c:v>76.36</c:v>
                </c:pt>
                <c:pt idx="1">
                  <c:v>75.680000000000007</c:v>
                </c:pt>
                <c:pt idx="2">
                  <c:v>77.8</c:v>
                </c:pt>
                <c:pt idx="3">
                  <c:v>79.040000000000006</c:v>
                </c:pt>
                <c:pt idx="4">
                  <c:v>75.739999999999995</c:v>
                </c:pt>
                <c:pt idx="5">
                  <c:v>80.94</c:v>
                </c:pt>
                <c:pt idx="6" formatCode="General">
                  <c:v>82.78</c:v>
                </c:pt>
                <c:pt idx="7">
                  <c:v>84.1</c:v>
                </c:pt>
                <c:pt idx="8">
                  <c:v>79.52</c:v>
                </c:pt>
                <c:pt idx="9">
                  <c:v>79.36</c:v>
                </c:pt>
                <c:pt idx="10">
                  <c:v>82.6</c:v>
                </c:pt>
                <c:pt idx="11">
                  <c:v>82.14</c:v>
                </c:pt>
                <c:pt idx="12">
                  <c:v>83</c:v>
                </c:pt>
                <c:pt idx="13">
                  <c:v>84.36</c:v>
                </c:pt>
                <c:pt idx="14">
                  <c:v>82.9</c:v>
                </c:pt>
                <c:pt idx="15">
                  <c:v>82.44</c:v>
                </c:pt>
                <c:pt idx="16">
                  <c:v>85.86</c:v>
                </c:pt>
                <c:pt idx="17">
                  <c:v>89.08</c:v>
                </c:pt>
                <c:pt idx="18">
                  <c:v>90.6</c:v>
                </c:pt>
                <c:pt idx="19">
                  <c:v>91.5</c:v>
                </c:pt>
                <c:pt idx="20">
                  <c:v>87.12</c:v>
                </c:pt>
                <c:pt idx="21">
                  <c:v>96.14</c:v>
                </c:pt>
                <c:pt idx="22">
                  <c:v>95.76</c:v>
                </c:pt>
                <c:pt idx="23">
                  <c:v>93.72</c:v>
                </c:pt>
                <c:pt idx="24">
                  <c:v>97.42</c:v>
                </c:pt>
                <c:pt idx="25">
                  <c:v>97</c:v>
                </c:pt>
                <c:pt idx="26">
                  <c:v>99.24</c:v>
                </c:pt>
                <c:pt idx="27">
                  <c:v>100.3</c:v>
                </c:pt>
                <c:pt idx="28">
                  <c:v>102.1</c:v>
                </c:pt>
                <c:pt idx="29">
                  <c:v>101.65</c:v>
                </c:pt>
                <c:pt idx="30">
                  <c:v>108.95</c:v>
                </c:pt>
                <c:pt idx="31">
                  <c:v>106.75</c:v>
                </c:pt>
                <c:pt idx="32">
                  <c:v>100.4</c:v>
                </c:pt>
                <c:pt idx="33">
                  <c:v>104.15</c:v>
                </c:pt>
                <c:pt idx="34">
                  <c:v>102.45</c:v>
                </c:pt>
                <c:pt idx="35">
                  <c:v>95.42</c:v>
                </c:pt>
                <c:pt idx="36">
                  <c:v>94.18</c:v>
                </c:pt>
                <c:pt idx="37">
                  <c:v>90.78</c:v>
                </c:pt>
                <c:pt idx="38">
                  <c:v>90.44</c:v>
                </c:pt>
                <c:pt idx="39">
                  <c:v>97.94</c:v>
                </c:pt>
                <c:pt idx="40">
                  <c:v>100.9</c:v>
                </c:pt>
                <c:pt idx="41">
                  <c:v>105.12</c:v>
                </c:pt>
                <c:pt idx="42">
                  <c:v>97.77</c:v>
                </c:pt>
                <c:pt idx="43">
                  <c:v>98.24</c:v>
                </c:pt>
                <c:pt idx="44">
                  <c:v>99.03</c:v>
                </c:pt>
                <c:pt idx="45">
                  <c:v>94.06</c:v>
                </c:pt>
                <c:pt idx="46">
                  <c:v>99.6</c:v>
                </c:pt>
                <c:pt idx="47">
                  <c:v>101.9</c:v>
                </c:pt>
                <c:pt idx="48">
                  <c:v>99.16</c:v>
                </c:pt>
                <c:pt idx="49">
                  <c:v>102.35</c:v>
                </c:pt>
                <c:pt idx="50">
                  <c:v>102.65</c:v>
                </c:pt>
              </c:numCache>
            </c:numRef>
          </c:val>
          <c:smooth val="0"/>
          <c:extLst>
            <c:ext xmlns:c16="http://schemas.microsoft.com/office/drawing/2014/chart" uri="{C3380CC4-5D6E-409C-BE32-E72D297353CC}">
              <c16:uniqueId val="{00000002-0738-254C-8312-7EE9492CCCEB}"/>
            </c:ext>
          </c:extLst>
        </c:ser>
        <c:ser>
          <c:idx val="3"/>
          <c:order val="3"/>
          <c:tx>
            <c:strRef>
              <c:f>'Weekly Updates'!$E$1</c:f>
              <c:strCache>
                <c:ptCount val="1"/>
                <c:pt idx="0">
                  <c:v>Natwest</c:v>
                </c:pt>
              </c:strCache>
            </c:strRef>
          </c:tx>
          <c:spPr>
            <a:ln w="28575" cap="rnd">
              <a:solidFill>
                <a:srgbClr val="7030A0"/>
              </a:solidFill>
              <a:round/>
            </a:ln>
            <a:effectLst/>
          </c:spPr>
          <c:marker>
            <c:symbol val="none"/>
          </c:marker>
          <c:cat>
            <c:numRef>
              <c:f>'Weekly Updates'!$A$2:$A$52</c:f>
              <c:numCache>
                <c:formatCode>m/d/yyyy</c:formatCode>
                <c:ptCount val="51"/>
                <c:pt idx="0">
                  <c:v>45839</c:v>
                </c:pt>
                <c:pt idx="1">
                  <c:v>45845</c:v>
                </c:pt>
                <c:pt idx="2">
                  <c:v>45852</c:v>
                </c:pt>
                <c:pt idx="3">
                  <c:v>45859</c:v>
                </c:pt>
                <c:pt idx="4">
                  <c:v>45866</c:v>
                </c:pt>
                <c:pt idx="5">
                  <c:v>45873</c:v>
                </c:pt>
                <c:pt idx="6">
                  <c:v>45880</c:v>
                </c:pt>
                <c:pt idx="7">
                  <c:v>45887</c:v>
                </c:pt>
                <c:pt idx="8">
                  <c:v>45894</c:v>
                </c:pt>
                <c:pt idx="9">
                  <c:v>45901</c:v>
                </c:pt>
                <c:pt idx="10">
                  <c:v>45908</c:v>
                </c:pt>
                <c:pt idx="11">
                  <c:v>45915</c:v>
                </c:pt>
                <c:pt idx="12">
                  <c:v>45922</c:v>
                </c:pt>
                <c:pt idx="13">
                  <c:v>45929</c:v>
                </c:pt>
                <c:pt idx="14">
                  <c:v>45936</c:v>
                </c:pt>
                <c:pt idx="15">
                  <c:v>45943</c:v>
                </c:pt>
                <c:pt idx="16">
                  <c:v>45950</c:v>
                </c:pt>
                <c:pt idx="17">
                  <c:v>45957</c:v>
                </c:pt>
                <c:pt idx="18">
                  <c:v>45964</c:v>
                </c:pt>
                <c:pt idx="19">
                  <c:v>45971</c:v>
                </c:pt>
                <c:pt idx="20">
                  <c:v>45978</c:v>
                </c:pt>
                <c:pt idx="21">
                  <c:v>45985</c:v>
                </c:pt>
                <c:pt idx="22">
                  <c:v>45992</c:v>
                </c:pt>
                <c:pt idx="23">
                  <c:v>45999</c:v>
                </c:pt>
                <c:pt idx="24">
                  <c:v>46006</c:v>
                </c:pt>
                <c:pt idx="25">
                  <c:v>46013</c:v>
                </c:pt>
                <c:pt idx="26">
                  <c:v>46020</c:v>
                </c:pt>
                <c:pt idx="27">
                  <c:v>46027</c:v>
                </c:pt>
                <c:pt idx="28">
                  <c:v>46034</c:v>
                </c:pt>
                <c:pt idx="29">
                  <c:v>46041</c:v>
                </c:pt>
                <c:pt idx="30">
                  <c:v>46048</c:v>
                </c:pt>
                <c:pt idx="31">
                  <c:v>46055</c:v>
                </c:pt>
                <c:pt idx="32">
                  <c:v>46062</c:v>
                </c:pt>
                <c:pt idx="33">
                  <c:v>46069</c:v>
                </c:pt>
                <c:pt idx="34">
                  <c:v>46076</c:v>
                </c:pt>
                <c:pt idx="35">
                  <c:v>46083</c:v>
                </c:pt>
                <c:pt idx="36">
                  <c:v>46090</c:v>
                </c:pt>
                <c:pt idx="37">
                  <c:v>46097</c:v>
                </c:pt>
                <c:pt idx="38">
                  <c:v>46104</c:v>
                </c:pt>
                <c:pt idx="39">
                  <c:v>46111</c:v>
                </c:pt>
                <c:pt idx="40">
                  <c:v>46119</c:v>
                </c:pt>
                <c:pt idx="41">
                  <c:v>46125</c:v>
                </c:pt>
                <c:pt idx="42">
                  <c:v>46132</c:v>
                </c:pt>
                <c:pt idx="43">
                  <c:v>46139</c:v>
                </c:pt>
                <c:pt idx="44">
                  <c:v>46146</c:v>
                </c:pt>
                <c:pt idx="45">
                  <c:v>46153</c:v>
                </c:pt>
                <c:pt idx="46">
                  <c:v>46160</c:v>
                </c:pt>
                <c:pt idx="47">
                  <c:v>46167</c:v>
                </c:pt>
                <c:pt idx="48">
                  <c:v>46174</c:v>
                </c:pt>
                <c:pt idx="49">
                  <c:v>46181</c:v>
                </c:pt>
                <c:pt idx="50">
                  <c:v>46188</c:v>
                </c:pt>
              </c:numCache>
            </c:numRef>
          </c:cat>
          <c:val>
            <c:numRef>
              <c:f>'Weekly Updates'!$E$2:$E$52</c:f>
              <c:numCache>
                <c:formatCode>_(* #,##0.00_);_(* \(#,##0.00\);_(* "-"??_);_(@_)</c:formatCode>
                <c:ptCount val="51"/>
                <c:pt idx="0" formatCode="0.00">
                  <c:v>501.4</c:v>
                </c:pt>
                <c:pt idx="1">
                  <c:v>491.5</c:v>
                </c:pt>
                <c:pt idx="2">
                  <c:v>496.2</c:v>
                </c:pt>
                <c:pt idx="3">
                  <c:v>519.20000000000005</c:v>
                </c:pt>
                <c:pt idx="4">
                  <c:v>511.6</c:v>
                </c:pt>
                <c:pt idx="5">
                  <c:v>522.79999999999995</c:v>
                </c:pt>
                <c:pt idx="6">
                  <c:v>544</c:v>
                </c:pt>
                <c:pt idx="7">
                  <c:v>562.4</c:v>
                </c:pt>
                <c:pt idx="8">
                  <c:v>510.6</c:v>
                </c:pt>
                <c:pt idx="9">
                  <c:v>506</c:v>
                </c:pt>
                <c:pt idx="10">
                  <c:v>529.20000000000005</c:v>
                </c:pt>
                <c:pt idx="11">
                  <c:v>512.6</c:v>
                </c:pt>
                <c:pt idx="12">
                  <c:v>520.4</c:v>
                </c:pt>
                <c:pt idx="13">
                  <c:v>548</c:v>
                </c:pt>
                <c:pt idx="14">
                  <c:v>541.6</c:v>
                </c:pt>
                <c:pt idx="15">
                  <c:v>532.4</c:v>
                </c:pt>
                <c:pt idx="16">
                  <c:v>572.4</c:v>
                </c:pt>
                <c:pt idx="17">
                  <c:v>584</c:v>
                </c:pt>
                <c:pt idx="18">
                  <c:v>598.79999999999995</c:v>
                </c:pt>
                <c:pt idx="19">
                  <c:v>600.79999999999995</c:v>
                </c:pt>
                <c:pt idx="20">
                  <c:v>579.20000000000005</c:v>
                </c:pt>
                <c:pt idx="21">
                  <c:v>632.20000000000005</c:v>
                </c:pt>
                <c:pt idx="22">
                  <c:v>617.6</c:v>
                </c:pt>
                <c:pt idx="23">
                  <c:v>612</c:v>
                </c:pt>
                <c:pt idx="24">
                  <c:v>644.79999999999995</c:v>
                </c:pt>
                <c:pt idx="25">
                  <c:v>646.79999999999995</c:v>
                </c:pt>
                <c:pt idx="26">
                  <c:v>657.6</c:v>
                </c:pt>
                <c:pt idx="27">
                  <c:v>642.6</c:v>
                </c:pt>
                <c:pt idx="28">
                  <c:v>652.79999999999995</c:v>
                </c:pt>
                <c:pt idx="29">
                  <c:v>646.6</c:v>
                </c:pt>
                <c:pt idx="30">
                  <c:v>665.2</c:v>
                </c:pt>
                <c:pt idx="31">
                  <c:v>659.4</c:v>
                </c:pt>
                <c:pt idx="32">
                  <c:v>580.20000000000005</c:v>
                </c:pt>
                <c:pt idx="33">
                  <c:v>615.6</c:v>
                </c:pt>
                <c:pt idx="34">
                  <c:v>619</c:v>
                </c:pt>
                <c:pt idx="35">
                  <c:v>575.6</c:v>
                </c:pt>
                <c:pt idx="36">
                  <c:v>565.20000000000005</c:v>
                </c:pt>
                <c:pt idx="37">
                  <c:v>519.6</c:v>
                </c:pt>
                <c:pt idx="38">
                  <c:v>539.79999999999995</c:v>
                </c:pt>
                <c:pt idx="39">
                  <c:v>575.4</c:v>
                </c:pt>
                <c:pt idx="40">
                  <c:v>614.4</c:v>
                </c:pt>
                <c:pt idx="41">
                  <c:v>626</c:v>
                </c:pt>
                <c:pt idx="42">
                  <c:v>579.4</c:v>
                </c:pt>
                <c:pt idx="43">
                  <c:v>565.6</c:v>
                </c:pt>
                <c:pt idx="44">
                  <c:v>579.79999999999995</c:v>
                </c:pt>
                <c:pt idx="45">
                  <c:v>561.20000000000005</c:v>
                </c:pt>
                <c:pt idx="46">
                  <c:v>584.20000000000005</c:v>
                </c:pt>
                <c:pt idx="47">
                  <c:v>599.4</c:v>
                </c:pt>
                <c:pt idx="48">
                  <c:v>593.79999999999995</c:v>
                </c:pt>
                <c:pt idx="49">
                  <c:v>614.20000000000005</c:v>
                </c:pt>
                <c:pt idx="50">
                  <c:v>614.79999999999995</c:v>
                </c:pt>
              </c:numCache>
            </c:numRef>
          </c:val>
          <c:smooth val="0"/>
          <c:extLst>
            <c:ext xmlns:c16="http://schemas.microsoft.com/office/drawing/2014/chart" uri="{C3380CC4-5D6E-409C-BE32-E72D297353CC}">
              <c16:uniqueId val="{00000003-0738-254C-8312-7EE9492CCCEB}"/>
            </c:ext>
          </c:extLst>
        </c:ser>
        <c:dLbls>
          <c:showLegendKey val="0"/>
          <c:showVal val="0"/>
          <c:showCatName val="0"/>
          <c:showSerName val="0"/>
          <c:showPercent val="0"/>
          <c:showBubbleSize val="0"/>
        </c:dLbls>
        <c:smooth val="0"/>
        <c:axId val="484141295"/>
        <c:axId val="483892335"/>
      </c:lineChart>
      <c:dateAx>
        <c:axId val="484141295"/>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92335"/>
        <c:crosses val="autoZero"/>
        <c:auto val="1"/>
        <c:lblOffset val="100"/>
        <c:baseTimeUnit val="days"/>
      </c:dateAx>
      <c:valAx>
        <c:axId val="483892335"/>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41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 of</a:t>
            </a:r>
            <a:r>
              <a:rPr lang="en-US" baseline="0"/>
              <a:t> Simulated UK Banking Portfolio (July 2025- June 2026)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'Weekly Updates'!$F$1</c:f>
              <c:strCache>
                <c:ptCount val="1"/>
                <c:pt idx="0">
                  <c:v>Portfolio Value</c:v>
                </c:pt>
              </c:strCache>
            </c:strRef>
          </c:tx>
          <c:spPr>
            <a:ln w="28575" cap="rnd">
              <a:solidFill>
                <a:schemeClr val="accent1"/>
              </a:solidFill>
              <a:round/>
            </a:ln>
            <a:effectLst/>
          </c:spPr>
          <c:marker>
            <c:symbol val="circle"/>
            <c:size val="5"/>
            <c:spPr>
              <a:solidFill>
                <a:schemeClr val="accent1"/>
              </a:solidFill>
              <a:ln w="9525">
                <a:noFill/>
              </a:ln>
              <a:effectLst/>
            </c:spPr>
          </c:marker>
          <c:dLbls>
            <c:delete val="1"/>
          </c:dLbls>
          <c:cat>
            <c:numRef>
              <c:f>'Weekly Updates'!$A$2:$A$52</c:f>
              <c:numCache>
                <c:formatCode>m/d/yyyy</c:formatCode>
                <c:ptCount val="51"/>
                <c:pt idx="0">
                  <c:v>45839</c:v>
                </c:pt>
                <c:pt idx="1">
                  <c:v>45845</c:v>
                </c:pt>
                <c:pt idx="2">
                  <c:v>45852</c:v>
                </c:pt>
                <c:pt idx="3">
                  <c:v>45859</c:v>
                </c:pt>
                <c:pt idx="4">
                  <c:v>45866</c:v>
                </c:pt>
                <c:pt idx="5">
                  <c:v>45873</c:v>
                </c:pt>
                <c:pt idx="6">
                  <c:v>45880</c:v>
                </c:pt>
                <c:pt idx="7">
                  <c:v>45887</c:v>
                </c:pt>
                <c:pt idx="8">
                  <c:v>45894</c:v>
                </c:pt>
                <c:pt idx="9">
                  <c:v>45901</c:v>
                </c:pt>
                <c:pt idx="10">
                  <c:v>45908</c:v>
                </c:pt>
                <c:pt idx="11">
                  <c:v>45915</c:v>
                </c:pt>
                <c:pt idx="12">
                  <c:v>45922</c:v>
                </c:pt>
                <c:pt idx="13">
                  <c:v>45929</c:v>
                </c:pt>
                <c:pt idx="14">
                  <c:v>45936</c:v>
                </c:pt>
                <c:pt idx="15">
                  <c:v>45943</c:v>
                </c:pt>
                <c:pt idx="16">
                  <c:v>45950</c:v>
                </c:pt>
                <c:pt idx="17">
                  <c:v>45957</c:v>
                </c:pt>
                <c:pt idx="18">
                  <c:v>45964</c:v>
                </c:pt>
                <c:pt idx="19">
                  <c:v>45971</c:v>
                </c:pt>
                <c:pt idx="20">
                  <c:v>45978</c:v>
                </c:pt>
                <c:pt idx="21">
                  <c:v>45985</c:v>
                </c:pt>
                <c:pt idx="22">
                  <c:v>45992</c:v>
                </c:pt>
                <c:pt idx="23">
                  <c:v>45999</c:v>
                </c:pt>
                <c:pt idx="24">
                  <c:v>46006</c:v>
                </c:pt>
                <c:pt idx="25">
                  <c:v>46013</c:v>
                </c:pt>
                <c:pt idx="26">
                  <c:v>46020</c:v>
                </c:pt>
                <c:pt idx="27">
                  <c:v>46027</c:v>
                </c:pt>
                <c:pt idx="28">
                  <c:v>46034</c:v>
                </c:pt>
                <c:pt idx="29">
                  <c:v>46041</c:v>
                </c:pt>
                <c:pt idx="30">
                  <c:v>46048</c:v>
                </c:pt>
                <c:pt idx="31">
                  <c:v>46055</c:v>
                </c:pt>
                <c:pt idx="32">
                  <c:v>46062</c:v>
                </c:pt>
                <c:pt idx="33">
                  <c:v>46069</c:v>
                </c:pt>
                <c:pt idx="34">
                  <c:v>46076</c:v>
                </c:pt>
                <c:pt idx="35">
                  <c:v>46083</c:v>
                </c:pt>
                <c:pt idx="36">
                  <c:v>46090</c:v>
                </c:pt>
                <c:pt idx="37">
                  <c:v>46097</c:v>
                </c:pt>
                <c:pt idx="38">
                  <c:v>46104</c:v>
                </c:pt>
                <c:pt idx="39">
                  <c:v>46111</c:v>
                </c:pt>
                <c:pt idx="40">
                  <c:v>46119</c:v>
                </c:pt>
                <c:pt idx="41">
                  <c:v>46125</c:v>
                </c:pt>
                <c:pt idx="42">
                  <c:v>46132</c:v>
                </c:pt>
                <c:pt idx="43">
                  <c:v>46139</c:v>
                </c:pt>
                <c:pt idx="44">
                  <c:v>46146</c:v>
                </c:pt>
                <c:pt idx="45">
                  <c:v>46153</c:v>
                </c:pt>
                <c:pt idx="46">
                  <c:v>46160</c:v>
                </c:pt>
                <c:pt idx="47">
                  <c:v>46167</c:v>
                </c:pt>
                <c:pt idx="48">
                  <c:v>46174</c:v>
                </c:pt>
                <c:pt idx="49">
                  <c:v>46181</c:v>
                </c:pt>
                <c:pt idx="50">
                  <c:v>46188</c:v>
                </c:pt>
              </c:numCache>
            </c:numRef>
          </c:cat>
          <c:val>
            <c:numRef>
              <c:f>'Weekly Updates'!$F$2:$F$52</c:f>
              <c:numCache>
                <c:formatCode>_("£"* #,##0.00_);_("£"* \(#,##0.00\);_("£"* "-"??_);_(@_)</c:formatCode>
                <c:ptCount val="51"/>
                <c:pt idx="0">
                  <c:v>9993.9827999999998</c:v>
                </c:pt>
                <c:pt idx="1">
                  <c:v>10115.011399999999</c:v>
                </c:pt>
                <c:pt idx="2">
                  <c:v>10345.527</c:v>
                </c:pt>
                <c:pt idx="3">
                  <c:v>10655.7932</c:v>
                </c:pt>
                <c:pt idx="4">
                  <c:v>10364.5182</c:v>
                </c:pt>
                <c:pt idx="5">
                  <c:v>10737.5622</c:v>
                </c:pt>
                <c:pt idx="6">
                  <c:v>10926.4694</c:v>
                </c:pt>
                <c:pt idx="7">
                  <c:v>11182.987000000001</c:v>
                </c:pt>
                <c:pt idx="8">
                  <c:v>10594.338599999999</c:v>
                </c:pt>
                <c:pt idx="9">
                  <c:v>10617.9018</c:v>
                </c:pt>
                <c:pt idx="10">
                  <c:v>11110.162</c:v>
                </c:pt>
                <c:pt idx="11">
                  <c:v>11083.883199999998</c:v>
                </c:pt>
                <c:pt idx="12">
                  <c:v>11189.646000000001</c:v>
                </c:pt>
                <c:pt idx="13">
                  <c:v>11458.461800000001</c:v>
                </c:pt>
                <c:pt idx="14">
                  <c:v>11086.528</c:v>
                </c:pt>
                <c:pt idx="15">
                  <c:v>10829.278200000001</c:v>
                </c:pt>
                <c:pt idx="16">
                  <c:v>11485.543799999999</c:v>
                </c:pt>
                <c:pt idx="17">
                  <c:v>11960.9264</c:v>
                </c:pt>
                <c:pt idx="18">
                  <c:v>12088.183999999999</c:v>
                </c:pt>
                <c:pt idx="19">
                  <c:v>12290.737000000001</c:v>
                </c:pt>
                <c:pt idx="20">
                  <c:v>11697.547600000002</c:v>
                </c:pt>
                <c:pt idx="21">
                  <c:v>12627.787200000001</c:v>
                </c:pt>
                <c:pt idx="22">
                  <c:v>12550.5648</c:v>
                </c:pt>
                <c:pt idx="23">
                  <c:v>12674.254600000002</c:v>
                </c:pt>
                <c:pt idx="24">
                  <c:v>13303.5916</c:v>
                </c:pt>
                <c:pt idx="25">
                  <c:v>13329.977000000001</c:v>
                </c:pt>
                <c:pt idx="26">
                  <c:v>13578.049199999999</c:v>
                </c:pt>
                <c:pt idx="27">
                  <c:v>13585.863000000001</c:v>
                </c:pt>
                <c:pt idx="28">
                  <c:v>13834.758</c:v>
                </c:pt>
                <c:pt idx="29">
                  <c:v>13720.716499999999</c:v>
                </c:pt>
                <c:pt idx="30">
                  <c:v>14253.123500000002</c:v>
                </c:pt>
                <c:pt idx="31">
                  <c:v>14156.9635</c:v>
                </c:pt>
                <c:pt idx="32">
                  <c:v>13171.59</c:v>
                </c:pt>
                <c:pt idx="33">
                  <c:v>13768.221500000001</c:v>
                </c:pt>
                <c:pt idx="34">
                  <c:v>13868.043500000002</c:v>
                </c:pt>
                <c:pt idx="35">
                  <c:v>12626.191600000002</c:v>
                </c:pt>
                <c:pt idx="36">
                  <c:v>12212.7304</c:v>
                </c:pt>
                <c:pt idx="37">
                  <c:v>11676.8534</c:v>
                </c:pt>
                <c:pt idx="38">
                  <c:v>11989.3812</c:v>
                </c:pt>
                <c:pt idx="39">
                  <c:v>12822.3292</c:v>
                </c:pt>
                <c:pt idx="40">
                  <c:v>13551.323</c:v>
                </c:pt>
                <c:pt idx="41">
                  <c:v>13908.784600000001</c:v>
                </c:pt>
                <c:pt idx="42">
                  <c:v>13091.372100000001</c:v>
                </c:pt>
                <c:pt idx="43">
                  <c:v>13221.386200000001</c:v>
                </c:pt>
                <c:pt idx="44">
                  <c:v>13213.781899999998</c:v>
                </c:pt>
                <c:pt idx="45">
                  <c:v>12881.853800000001</c:v>
                </c:pt>
                <c:pt idx="46">
                  <c:v>13492.342000000001</c:v>
                </c:pt>
                <c:pt idx="47">
                  <c:v>13791.092000000001</c:v>
                </c:pt>
                <c:pt idx="48">
                  <c:v>13577.113799999999</c:v>
                </c:pt>
                <c:pt idx="49">
                  <c:v>13932.770500000001</c:v>
                </c:pt>
                <c:pt idx="50">
                  <c:v>14158.3315</c:v>
                </c:pt>
              </c:numCache>
            </c:numRef>
          </c:val>
          <c:smooth val="1"/>
          <c:extLst>
            <c:ext xmlns:c16="http://schemas.microsoft.com/office/drawing/2014/chart" uri="{C3380CC4-5D6E-409C-BE32-E72D297353CC}">
              <c16:uniqueId val="{00000000-48D5-3F4F-9FEC-AB2EDAC46A30}"/>
            </c:ext>
          </c:extLst>
        </c:ser>
        <c:dLbls>
          <c:dLblPos val="ctr"/>
          <c:showLegendKey val="0"/>
          <c:showVal val="1"/>
          <c:showCatName val="0"/>
          <c:showSerName val="0"/>
          <c:showPercent val="0"/>
          <c:showBubbleSize val="0"/>
        </c:dLbls>
        <c:marker val="1"/>
        <c:smooth val="0"/>
        <c:axId val="690118287"/>
        <c:axId val="690849455"/>
      </c:lineChart>
      <c:dateAx>
        <c:axId val="690118287"/>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849455"/>
        <c:crosses val="autoZero"/>
        <c:auto val="1"/>
        <c:lblOffset val="100"/>
        <c:baseTimeUnit val="days"/>
      </c:dateAx>
      <c:valAx>
        <c:axId val="690849455"/>
        <c:scaling>
          <c:orientation val="minMax"/>
          <c:min val="9000"/>
        </c:scaling>
        <c:delete val="0"/>
        <c:axPos val="l"/>
        <c:majorGridlines>
          <c:spPr>
            <a:ln w="9525" cap="flat" cmpd="sng" algn="ctr">
              <a:solidFill>
                <a:schemeClr val="accent1"/>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1182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Weekly</a:t>
            </a:r>
            <a:r>
              <a:rPr lang="en-GB" baseline="0"/>
              <a:t> Share Price Peformance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'Weekly Updates'!$B$1</c:f>
              <c:strCache>
                <c:ptCount val="1"/>
                <c:pt idx="0">
                  <c:v>Barclays</c:v>
                </c:pt>
              </c:strCache>
            </c:strRef>
          </c:tx>
          <c:spPr>
            <a:ln w="28575" cap="rnd">
              <a:solidFill>
                <a:schemeClr val="accent1"/>
              </a:solidFill>
              <a:round/>
            </a:ln>
            <a:effectLst/>
          </c:spPr>
          <c:marker>
            <c:symbol val="none"/>
          </c:marker>
          <c:cat>
            <c:numRef>
              <c:f>'Weekly Updates'!$A$2:$A$52</c:f>
              <c:numCache>
                <c:formatCode>m/d/yyyy</c:formatCode>
                <c:ptCount val="51"/>
                <c:pt idx="0">
                  <c:v>45839</c:v>
                </c:pt>
                <c:pt idx="1">
                  <c:v>45845</c:v>
                </c:pt>
                <c:pt idx="2">
                  <c:v>45852</c:v>
                </c:pt>
                <c:pt idx="3">
                  <c:v>45859</c:v>
                </c:pt>
                <c:pt idx="4">
                  <c:v>45866</c:v>
                </c:pt>
                <c:pt idx="5">
                  <c:v>45873</c:v>
                </c:pt>
                <c:pt idx="6">
                  <c:v>45880</c:v>
                </c:pt>
                <c:pt idx="7">
                  <c:v>45887</c:v>
                </c:pt>
                <c:pt idx="8">
                  <c:v>45894</c:v>
                </c:pt>
                <c:pt idx="9">
                  <c:v>45901</c:v>
                </c:pt>
                <c:pt idx="10">
                  <c:v>45908</c:v>
                </c:pt>
                <c:pt idx="11">
                  <c:v>45915</c:v>
                </c:pt>
                <c:pt idx="12">
                  <c:v>45922</c:v>
                </c:pt>
                <c:pt idx="13">
                  <c:v>45929</c:v>
                </c:pt>
                <c:pt idx="14">
                  <c:v>45936</c:v>
                </c:pt>
                <c:pt idx="15">
                  <c:v>45943</c:v>
                </c:pt>
                <c:pt idx="16">
                  <c:v>45950</c:v>
                </c:pt>
                <c:pt idx="17">
                  <c:v>45957</c:v>
                </c:pt>
                <c:pt idx="18">
                  <c:v>45964</c:v>
                </c:pt>
                <c:pt idx="19">
                  <c:v>45971</c:v>
                </c:pt>
                <c:pt idx="20">
                  <c:v>45978</c:v>
                </c:pt>
                <c:pt idx="21">
                  <c:v>45985</c:v>
                </c:pt>
                <c:pt idx="22">
                  <c:v>45992</c:v>
                </c:pt>
                <c:pt idx="23">
                  <c:v>45999</c:v>
                </c:pt>
                <c:pt idx="24">
                  <c:v>46006</c:v>
                </c:pt>
                <c:pt idx="25">
                  <c:v>46013</c:v>
                </c:pt>
                <c:pt idx="26">
                  <c:v>46020</c:v>
                </c:pt>
                <c:pt idx="27">
                  <c:v>46027</c:v>
                </c:pt>
                <c:pt idx="28">
                  <c:v>46034</c:v>
                </c:pt>
                <c:pt idx="29">
                  <c:v>46041</c:v>
                </c:pt>
                <c:pt idx="30">
                  <c:v>46048</c:v>
                </c:pt>
                <c:pt idx="31">
                  <c:v>46055</c:v>
                </c:pt>
                <c:pt idx="32">
                  <c:v>46062</c:v>
                </c:pt>
                <c:pt idx="33">
                  <c:v>46069</c:v>
                </c:pt>
                <c:pt idx="34">
                  <c:v>46076</c:v>
                </c:pt>
                <c:pt idx="35">
                  <c:v>46083</c:v>
                </c:pt>
                <c:pt idx="36">
                  <c:v>46090</c:v>
                </c:pt>
                <c:pt idx="37">
                  <c:v>46097</c:v>
                </c:pt>
                <c:pt idx="38">
                  <c:v>46104</c:v>
                </c:pt>
                <c:pt idx="39">
                  <c:v>46111</c:v>
                </c:pt>
                <c:pt idx="40">
                  <c:v>46119</c:v>
                </c:pt>
                <c:pt idx="41">
                  <c:v>46125</c:v>
                </c:pt>
                <c:pt idx="42">
                  <c:v>46132</c:v>
                </c:pt>
                <c:pt idx="43">
                  <c:v>46139</c:v>
                </c:pt>
                <c:pt idx="44">
                  <c:v>46146</c:v>
                </c:pt>
                <c:pt idx="45">
                  <c:v>46153</c:v>
                </c:pt>
                <c:pt idx="46">
                  <c:v>46160</c:v>
                </c:pt>
                <c:pt idx="47">
                  <c:v>46167</c:v>
                </c:pt>
                <c:pt idx="48">
                  <c:v>46174</c:v>
                </c:pt>
                <c:pt idx="49">
                  <c:v>46181</c:v>
                </c:pt>
                <c:pt idx="50">
                  <c:v>46188</c:v>
                </c:pt>
              </c:numCache>
            </c:numRef>
          </c:cat>
          <c:val>
            <c:numRef>
              <c:f>'Weekly Updates'!$B$2:$B$52</c:f>
              <c:numCache>
                <c:formatCode>_(* #,##0.00_);_(* \(#,##0.00\);_(* "-"??_);_(@_)</c:formatCode>
                <c:ptCount val="51"/>
                <c:pt idx="0" formatCode="0.00">
                  <c:v>329.7</c:v>
                </c:pt>
                <c:pt idx="1">
                  <c:v>340</c:v>
                </c:pt>
                <c:pt idx="2">
                  <c:v>349.65</c:v>
                </c:pt>
                <c:pt idx="3">
                  <c:v>360.5</c:v>
                </c:pt>
                <c:pt idx="4">
                  <c:v>356.65</c:v>
                </c:pt>
                <c:pt idx="5">
                  <c:v>367.95</c:v>
                </c:pt>
                <c:pt idx="6">
                  <c:v>371.15</c:v>
                </c:pt>
                <c:pt idx="7">
                  <c:v>376.45</c:v>
                </c:pt>
                <c:pt idx="8">
                  <c:v>360.4</c:v>
                </c:pt>
                <c:pt idx="9">
                  <c:v>361.05</c:v>
                </c:pt>
                <c:pt idx="10">
                  <c:v>380.1</c:v>
                </c:pt>
                <c:pt idx="11">
                  <c:v>381.65</c:v>
                </c:pt>
                <c:pt idx="12">
                  <c:v>382.6</c:v>
                </c:pt>
                <c:pt idx="13">
                  <c:v>385.35</c:v>
                </c:pt>
                <c:pt idx="14">
                  <c:v>372.5</c:v>
                </c:pt>
                <c:pt idx="15">
                  <c:v>357.8</c:v>
                </c:pt>
                <c:pt idx="16">
                  <c:v>388.3</c:v>
                </c:pt>
                <c:pt idx="17">
                  <c:v>407</c:v>
                </c:pt>
                <c:pt idx="18">
                  <c:v>404.7</c:v>
                </c:pt>
                <c:pt idx="19">
                  <c:v>413.5</c:v>
                </c:pt>
                <c:pt idx="20">
                  <c:v>392.2</c:v>
                </c:pt>
                <c:pt idx="21">
                  <c:v>430.25</c:v>
                </c:pt>
                <c:pt idx="22">
                  <c:v>434.4</c:v>
                </c:pt>
                <c:pt idx="23">
                  <c:v>444.35</c:v>
                </c:pt>
                <c:pt idx="24">
                  <c:v>468.95</c:v>
                </c:pt>
                <c:pt idx="25">
                  <c:v>469.75</c:v>
                </c:pt>
                <c:pt idx="26">
                  <c:v>479.5</c:v>
                </c:pt>
                <c:pt idx="27">
                  <c:v>484.9</c:v>
                </c:pt>
                <c:pt idx="28">
                  <c:v>488.95</c:v>
                </c:pt>
                <c:pt idx="29">
                  <c:v>480.3</c:v>
                </c:pt>
                <c:pt idx="30">
                  <c:v>486.2</c:v>
                </c:pt>
                <c:pt idx="31">
                  <c:v>479.1</c:v>
                </c:pt>
                <c:pt idx="32">
                  <c:v>454</c:v>
                </c:pt>
                <c:pt idx="33">
                  <c:v>473.8</c:v>
                </c:pt>
                <c:pt idx="34">
                  <c:v>452.85</c:v>
                </c:pt>
                <c:pt idx="35">
                  <c:v>404.15</c:v>
                </c:pt>
                <c:pt idx="36">
                  <c:v>386.25</c:v>
                </c:pt>
                <c:pt idx="37">
                  <c:v>373.9</c:v>
                </c:pt>
                <c:pt idx="38">
                  <c:v>382.2</c:v>
                </c:pt>
                <c:pt idx="39">
                  <c:v>408.75</c:v>
                </c:pt>
                <c:pt idx="40">
                  <c:v>441</c:v>
                </c:pt>
                <c:pt idx="41">
                  <c:v>452.85</c:v>
                </c:pt>
                <c:pt idx="42">
                  <c:v>424.1</c:v>
                </c:pt>
                <c:pt idx="43">
                  <c:v>433.75</c:v>
                </c:pt>
                <c:pt idx="44">
                  <c:v>435</c:v>
                </c:pt>
                <c:pt idx="45">
                  <c:v>423.3</c:v>
                </c:pt>
                <c:pt idx="46">
                  <c:v>445.8</c:v>
                </c:pt>
                <c:pt idx="47">
                  <c:v>457.95</c:v>
                </c:pt>
                <c:pt idx="48">
                  <c:v>457.65</c:v>
                </c:pt>
                <c:pt idx="49">
                  <c:v>472.85</c:v>
                </c:pt>
                <c:pt idx="50">
                  <c:v>496.45</c:v>
                </c:pt>
              </c:numCache>
            </c:numRef>
          </c:val>
          <c:smooth val="0"/>
          <c:extLst>
            <c:ext xmlns:c16="http://schemas.microsoft.com/office/drawing/2014/chart" uri="{C3380CC4-5D6E-409C-BE32-E72D297353CC}">
              <c16:uniqueId val="{00000000-B9DC-C342-8F4B-D2882EDFF1EF}"/>
            </c:ext>
          </c:extLst>
        </c:ser>
        <c:ser>
          <c:idx val="1"/>
          <c:order val="1"/>
          <c:tx>
            <c:strRef>
              <c:f>'Weekly Updates'!$C$1</c:f>
              <c:strCache>
                <c:ptCount val="1"/>
                <c:pt idx="0">
                  <c:v>HSBC</c:v>
                </c:pt>
              </c:strCache>
            </c:strRef>
          </c:tx>
          <c:spPr>
            <a:ln w="28575" cap="rnd">
              <a:solidFill>
                <a:srgbClr val="FF0000"/>
              </a:solidFill>
              <a:round/>
            </a:ln>
            <a:effectLst/>
          </c:spPr>
          <c:marker>
            <c:symbol val="none"/>
          </c:marker>
          <c:cat>
            <c:numRef>
              <c:f>'Weekly Updates'!$A$2:$A$52</c:f>
              <c:numCache>
                <c:formatCode>m/d/yyyy</c:formatCode>
                <c:ptCount val="51"/>
                <c:pt idx="0">
                  <c:v>45839</c:v>
                </c:pt>
                <c:pt idx="1">
                  <c:v>45845</c:v>
                </c:pt>
                <c:pt idx="2">
                  <c:v>45852</c:v>
                </c:pt>
                <c:pt idx="3">
                  <c:v>45859</c:v>
                </c:pt>
                <c:pt idx="4">
                  <c:v>45866</c:v>
                </c:pt>
                <c:pt idx="5">
                  <c:v>45873</c:v>
                </c:pt>
                <c:pt idx="6">
                  <c:v>45880</c:v>
                </c:pt>
                <c:pt idx="7">
                  <c:v>45887</c:v>
                </c:pt>
                <c:pt idx="8">
                  <c:v>45894</c:v>
                </c:pt>
                <c:pt idx="9">
                  <c:v>45901</c:v>
                </c:pt>
                <c:pt idx="10">
                  <c:v>45908</c:v>
                </c:pt>
                <c:pt idx="11">
                  <c:v>45915</c:v>
                </c:pt>
                <c:pt idx="12">
                  <c:v>45922</c:v>
                </c:pt>
                <c:pt idx="13">
                  <c:v>45929</c:v>
                </c:pt>
                <c:pt idx="14">
                  <c:v>45936</c:v>
                </c:pt>
                <c:pt idx="15">
                  <c:v>45943</c:v>
                </c:pt>
                <c:pt idx="16">
                  <c:v>45950</c:v>
                </c:pt>
                <c:pt idx="17">
                  <c:v>45957</c:v>
                </c:pt>
                <c:pt idx="18">
                  <c:v>45964</c:v>
                </c:pt>
                <c:pt idx="19">
                  <c:v>45971</c:v>
                </c:pt>
                <c:pt idx="20">
                  <c:v>45978</c:v>
                </c:pt>
                <c:pt idx="21">
                  <c:v>45985</c:v>
                </c:pt>
                <c:pt idx="22">
                  <c:v>45992</c:v>
                </c:pt>
                <c:pt idx="23">
                  <c:v>45999</c:v>
                </c:pt>
                <c:pt idx="24">
                  <c:v>46006</c:v>
                </c:pt>
                <c:pt idx="25">
                  <c:v>46013</c:v>
                </c:pt>
                <c:pt idx="26">
                  <c:v>46020</c:v>
                </c:pt>
                <c:pt idx="27">
                  <c:v>46027</c:v>
                </c:pt>
                <c:pt idx="28">
                  <c:v>46034</c:v>
                </c:pt>
                <c:pt idx="29">
                  <c:v>46041</c:v>
                </c:pt>
                <c:pt idx="30">
                  <c:v>46048</c:v>
                </c:pt>
                <c:pt idx="31">
                  <c:v>46055</c:v>
                </c:pt>
                <c:pt idx="32">
                  <c:v>46062</c:v>
                </c:pt>
                <c:pt idx="33">
                  <c:v>46069</c:v>
                </c:pt>
                <c:pt idx="34">
                  <c:v>46076</c:v>
                </c:pt>
                <c:pt idx="35">
                  <c:v>46083</c:v>
                </c:pt>
                <c:pt idx="36">
                  <c:v>46090</c:v>
                </c:pt>
                <c:pt idx="37">
                  <c:v>46097</c:v>
                </c:pt>
                <c:pt idx="38">
                  <c:v>46104</c:v>
                </c:pt>
                <c:pt idx="39">
                  <c:v>46111</c:v>
                </c:pt>
                <c:pt idx="40">
                  <c:v>46119</c:v>
                </c:pt>
                <c:pt idx="41">
                  <c:v>46125</c:v>
                </c:pt>
                <c:pt idx="42">
                  <c:v>46132</c:v>
                </c:pt>
                <c:pt idx="43">
                  <c:v>46139</c:v>
                </c:pt>
                <c:pt idx="44">
                  <c:v>46146</c:v>
                </c:pt>
                <c:pt idx="45">
                  <c:v>46153</c:v>
                </c:pt>
                <c:pt idx="46">
                  <c:v>46160</c:v>
                </c:pt>
                <c:pt idx="47">
                  <c:v>46167</c:v>
                </c:pt>
                <c:pt idx="48">
                  <c:v>46174</c:v>
                </c:pt>
                <c:pt idx="49">
                  <c:v>46181</c:v>
                </c:pt>
                <c:pt idx="50">
                  <c:v>46188</c:v>
                </c:pt>
              </c:numCache>
            </c:numRef>
          </c:cat>
          <c:val>
            <c:numRef>
              <c:f>'Weekly Updates'!$C$2:$C$52</c:f>
              <c:numCache>
                <c:formatCode>General</c:formatCode>
                <c:ptCount val="51"/>
                <c:pt idx="0" formatCode="0.00">
                  <c:v>870.6</c:v>
                </c:pt>
                <c:pt idx="1">
                  <c:v>910.5</c:v>
                </c:pt>
                <c:pt idx="2" formatCode="0.0">
                  <c:v>933</c:v>
                </c:pt>
                <c:pt idx="3" formatCode="_(* #,##0.00_);_(* \(#,##0.00\);_(* &quot;-&quot;??_);_(@_)">
                  <c:v>958.4</c:v>
                </c:pt>
                <c:pt idx="4" formatCode="_(* #,##0.00_);_(* \(#,##0.00\);_(* &quot;-&quot;??_);_(@_)">
                  <c:v>917.9</c:v>
                </c:pt>
                <c:pt idx="5" formatCode="_(* #,##0.00_);_(* \(#,##0.00\);_(* &quot;-&quot;??_);_(@_)">
                  <c:v>939.3</c:v>
                </c:pt>
                <c:pt idx="6" formatCode="_(* #,##0.00_);_(* \(#,##0.00\);_(* &quot;-&quot;??_);_(@_)">
                  <c:v>938.9</c:v>
                </c:pt>
                <c:pt idx="7" formatCode="_(* #,##0.00_);_(* \(#,##0.00\);_(* &quot;-&quot;??_);_(@_)">
                  <c:v>967.3</c:v>
                </c:pt>
                <c:pt idx="8" formatCode="_(* #,##0.00_);_(* \(#,##0.00\);_(* &quot;-&quot;??_);_(@_)">
                  <c:v>946.7</c:v>
                </c:pt>
                <c:pt idx="9" formatCode="_(* #,##0.00_);_(* \(#,##0.00\);_(* &quot;-&quot;??_);_(@_)">
                  <c:v>963</c:v>
                </c:pt>
                <c:pt idx="10" formatCode="_(* #,##0.00_);_(* \(#,##0.00\);_(* &quot;-&quot;??_);_(@_)">
                  <c:v>1007</c:v>
                </c:pt>
                <c:pt idx="11" formatCode="_(* #,##0.00_);_(* \(#,##0.00\);_(* &quot;-&quot;??_);_(@_)">
                  <c:v>1027.8</c:v>
                </c:pt>
                <c:pt idx="12" formatCode="_(* #,##0.00_);_(* \(#,##0.00\);_(* &quot;-&quot;??_);_(@_)">
                  <c:v>1038.8</c:v>
                </c:pt>
                <c:pt idx="13" formatCode="_(* #,##0.00_);_(* \(#,##0.00\);_(* &quot;-&quot;??_);_(@_)">
                  <c:v>1061.8</c:v>
                </c:pt>
                <c:pt idx="14" formatCode="_(* #,##0.00_);_(* \(#,##0.00\);_(* &quot;-&quot;??_);_(@_)">
                  <c:v>993.9</c:v>
                </c:pt>
                <c:pt idx="15" formatCode="_(* #,##0.00_);_(* \(#,##0.00\);_(* &quot;-&quot;??_);_(@_)">
                  <c:v>964.3</c:v>
                </c:pt>
                <c:pt idx="16" formatCode="_(* #,##0.00_);_(* \(#,##0.00\);_(* &quot;-&quot;??_);_(@_)">
                  <c:v>1004</c:v>
                </c:pt>
                <c:pt idx="17" formatCode="_(* #,##0.00_);_(* \(#,##0.00\);_(* &quot;-&quot;??_);_(@_)">
                  <c:v>1063.4000000000001</c:v>
                </c:pt>
                <c:pt idx="18" formatCode="_(* #,##0.00_);_(* \(#,##0.00\);_(* &quot;-&quot;??_);_(@_)">
                  <c:v>1070.8</c:v>
                </c:pt>
                <c:pt idx="19" formatCode="_(* #,##0.00_);_(* \(#,##0.00\);_(* &quot;-&quot;??_);_(@_)">
                  <c:v>1104.4000000000001</c:v>
                </c:pt>
                <c:pt idx="20" formatCode="_(* #,##0.00_);_(* \(#,##0.00\);_(* &quot;-&quot;??_);_(@_)">
                  <c:v>1041.4000000000001</c:v>
                </c:pt>
                <c:pt idx="21" formatCode="_(* #,##0.00_);_(* \(#,##0.00\);_(* &quot;-&quot;??_);_(@_)">
                  <c:v>1070.2</c:v>
                </c:pt>
                <c:pt idx="22" formatCode="_(* #,##0.00_);_(* \(#,##0.00\);_(* &quot;-&quot;??_);_(@_)">
                  <c:v>1062</c:v>
                </c:pt>
                <c:pt idx="23" formatCode="_(* #,##0.00_);_(* \(#,##0.00\);_(* &quot;-&quot;??_);_(@_)">
                  <c:v>1111.8</c:v>
                </c:pt>
                <c:pt idx="24" formatCode="_(* #,##0.00_);_(* \(#,##0.00\);_(* &quot;-&quot;??_);_(@_)">
                  <c:v>1167</c:v>
                </c:pt>
                <c:pt idx="25" formatCode="_(* #,##0.00_);_(* \(#,##0.00\);_(* &quot;-&quot;??_);_(@_)">
                  <c:v>1175.4000000000001</c:v>
                </c:pt>
                <c:pt idx="26" formatCode="_(* #,##0.00_);_(* \(#,##0.00\);_(* &quot;-&quot;??_);_(@_)">
                  <c:v>1191.8</c:v>
                </c:pt>
                <c:pt idx="27" formatCode="_(* #,##0.00_);_(* \(#,##0.00\);_(* &quot;-&quot;??_);_(@_)">
                  <c:v>1194.2</c:v>
                </c:pt>
                <c:pt idx="28" formatCode="_(* #,##0.00_);_(* \(#,##0.00\);_(* &quot;-&quot;??_);_(@_)">
                  <c:v>1232</c:v>
                </c:pt>
                <c:pt idx="29" formatCode="_(* #,##0.00_);_(* \(#,##0.00\);_(* &quot;-&quot;??_);_(@_)">
                  <c:v>1231</c:v>
                </c:pt>
                <c:pt idx="30" formatCode="_(* #,##0.00_);_(* \(#,##0.00\);_(* &quot;-&quot;??_);_(@_)">
                  <c:v>1285.4000000000001</c:v>
                </c:pt>
                <c:pt idx="31" formatCode="_(* #,##0.00_);_(* \(#,##0.00\);_(* &quot;-&quot;??_);_(@_)">
                  <c:v>1305.8</c:v>
                </c:pt>
                <c:pt idx="32" formatCode="_(* #,##0.00_);_(* \(#,##0.00\);_(* &quot;-&quot;??_);_(@_)">
                  <c:v>1238.5999999999999</c:v>
                </c:pt>
                <c:pt idx="33" formatCode="_(* #,##0.00_);_(* \(#,##0.00\);_(* &quot;-&quot;??_);_(@_)">
                  <c:v>1290</c:v>
                </c:pt>
                <c:pt idx="34" formatCode="_(* #,##0.00_);_(* \(#,##0.00\);_(* &quot;-&quot;??_);_(@_)">
                  <c:v>1393.6</c:v>
                </c:pt>
                <c:pt idx="35" formatCode="_(* #,##0.00_);_(* \(#,##0.00\);_(* &quot;-&quot;??_);_(@_)">
                  <c:v>1245</c:v>
                </c:pt>
                <c:pt idx="36" formatCode="_(* #,##0.00_);_(* \(#,##0.00\);_(* &quot;-&quot;??_);_(@_)">
                  <c:v>1180.4000000000001</c:v>
                </c:pt>
                <c:pt idx="37" formatCode="_(* #,##0.00_);_(* \(#,##0.00\);_(* &quot;-&quot;??_);_(@_)">
                  <c:v>1144.2</c:v>
                </c:pt>
                <c:pt idx="38" formatCode="_(* #,##0.00_);_(* \(#,##0.00\);_(* &quot;-&quot;??_);_(@_)">
                  <c:v>1200</c:v>
                </c:pt>
                <c:pt idx="39" formatCode="_(* #,##0.00_);_(* \(#,##0.00\);_(* &quot;-&quot;??_);_(@_)">
                  <c:v>1272.8</c:v>
                </c:pt>
                <c:pt idx="40" formatCode="_(* #,##0.00_);_(* \(#,##0.00\);_(* &quot;-&quot;??_);_(@_)">
                  <c:v>1340.2</c:v>
                </c:pt>
                <c:pt idx="41" formatCode="_(* #,##0.00_);_(* \(#,##0.00\);_(* &quot;-&quot;??_);_(@_)">
                  <c:v>1365.2</c:v>
                </c:pt>
                <c:pt idx="42" formatCode="_(* #,##0.00_);_(* \(#,##0.00\);_(* &quot;-&quot;??_);_(@_)">
                  <c:v>1321</c:v>
                </c:pt>
                <c:pt idx="43" formatCode="_(* #,##0.00_);_(* \(#,##0.00\);_(* &quot;-&quot;??_);_(@_)">
                  <c:v>1359.4</c:v>
                </c:pt>
                <c:pt idx="44" formatCode="_(* #,##0.00_);_(* \(#,##0.00\);_(* &quot;-&quot;??_);_(@_)">
                  <c:v>1319.8</c:v>
                </c:pt>
                <c:pt idx="45" formatCode="_(* #,##0.00_);_(* \(#,##0.00\);_(* &quot;-&quot;??_);_(@_)">
                  <c:v>1324</c:v>
                </c:pt>
                <c:pt idx="46" formatCode="_(* #,##0.00_);_(* \(#,##0.00\);_(* &quot;-&quot;??_);_(@_)">
                  <c:v>1374.2</c:v>
                </c:pt>
                <c:pt idx="47" formatCode="_(* #,##0.00_);_(* \(#,##0.00\);_(* &quot;-&quot;??_);_(@_)">
                  <c:v>1393.6</c:v>
                </c:pt>
                <c:pt idx="48" formatCode="_(* #,##0.00_);_(* \(#,##0.00\);_(* &quot;-&quot;??_);_(@_)">
                  <c:v>1360.8</c:v>
                </c:pt>
                <c:pt idx="49" formatCode="_(* #,##0.00_);_(* \(#,##0.00\);_(* &quot;-&quot;??_);_(@_)">
                  <c:v>1372.8</c:v>
                </c:pt>
                <c:pt idx="50" formatCode="_(* #,##0.00_);_(* \(#,##0.00\);_(* &quot;-&quot;??_);_(@_)">
                  <c:v>1384.6</c:v>
                </c:pt>
              </c:numCache>
            </c:numRef>
          </c:val>
          <c:smooth val="0"/>
          <c:extLst>
            <c:ext xmlns:c16="http://schemas.microsoft.com/office/drawing/2014/chart" uri="{C3380CC4-5D6E-409C-BE32-E72D297353CC}">
              <c16:uniqueId val="{00000001-B9DC-C342-8F4B-D2882EDFF1EF}"/>
            </c:ext>
          </c:extLst>
        </c:ser>
        <c:ser>
          <c:idx val="2"/>
          <c:order val="2"/>
          <c:tx>
            <c:strRef>
              <c:f>'Weekly Updates'!$D$1</c:f>
              <c:strCache>
                <c:ptCount val="1"/>
                <c:pt idx="0">
                  <c:v>Lloyds</c:v>
                </c:pt>
              </c:strCache>
            </c:strRef>
          </c:tx>
          <c:spPr>
            <a:ln w="28575" cap="rnd">
              <a:solidFill>
                <a:schemeClr val="accent6">
                  <a:lumMod val="75000"/>
                </a:schemeClr>
              </a:solidFill>
              <a:round/>
            </a:ln>
            <a:effectLst>
              <a:outerShdw sx="1000" sy="1000" algn="ctr" rotWithShape="0">
                <a:schemeClr val="bg2"/>
              </a:outerShdw>
            </a:effectLst>
          </c:spPr>
          <c:marker>
            <c:symbol val="none"/>
          </c:marker>
          <c:cat>
            <c:numRef>
              <c:f>'Weekly Updates'!$A$2:$A$52</c:f>
              <c:numCache>
                <c:formatCode>m/d/yyyy</c:formatCode>
                <c:ptCount val="51"/>
                <c:pt idx="0">
                  <c:v>45839</c:v>
                </c:pt>
                <c:pt idx="1">
                  <c:v>45845</c:v>
                </c:pt>
                <c:pt idx="2">
                  <c:v>45852</c:v>
                </c:pt>
                <c:pt idx="3">
                  <c:v>45859</c:v>
                </c:pt>
                <c:pt idx="4">
                  <c:v>45866</c:v>
                </c:pt>
                <c:pt idx="5">
                  <c:v>45873</c:v>
                </c:pt>
                <c:pt idx="6">
                  <c:v>45880</c:v>
                </c:pt>
                <c:pt idx="7">
                  <c:v>45887</c:v>
                </c:pt>
                <c:pt idx="8">
                  <c:v>45894</c:v>
                </c:pt>
                <c:pt idx="9">
                  <c:v>45901</c:v>
                </c:pt>
                <c:pt idx="10">
                  <c:v>45908</c:v>
                </c:pt>
                <c:pt idx="11">
                  <c:v>45915</c:v>
                </c:pt>
                <c:pt idx="12">
                  <c:v>45922</c:v>
                </c:pt>
                <c:pt idx="13">
                  <c:v>45929</c:v>
                </c:pt>
                <c:pt idx="14">
                  <c:v>45936</c:v>
                </c:pt>
                <c:pt idx="15">
                  <c:v>45943</c:v>
                </c:pt>
                <c:pt idx="16">
                  <c:v>45950</c:v>
                </c:pt>
                <c:pt idx="17">
                  <c:v>45957</c:v>
                </c:pt>
                <c:pt idx="18">
                  <c:v>45964</c:v>
                </c:pt>
                <c:pt idx="19">
                  <c:v>45971</c:v>
                </c:pt>
                <c:pt idx="20">
                  <c:v>45978</c:v>
                </c:pt>
                <c:pt idx="21">
                  <c:v>45985</c:v>
                </c:pt>
                <c:pt idx="22">
                  <c:v>45992</c:v>
                </c:pt>
                <c:pt idx="23">
                  <c:v>45999</c:v>
                </c:pt>
                <c:pt idx="24">
                  <c:v>46006</c:v>
                </c:pt>
                <c:pt idx="25">
                  <c:v>46013</c:v>
                </c:pt>
                <c:pt idx="26">
                  <c:v>46020</c:v>
                </c:pt>
                <c:pt idx="27">
                  <c:v>46027</c:v>
                </c:pt>
                <c:pt idx="28">
                  <c:v>46034</c:v>
                </c:pt>
                <c:pt idx="29">
                  <c:v>46041</c:v>
                </c:pt>
                <c:pt idx="30">
                  <c:v>46048</c:v>
                </c:pt>
                <c:pt idx="31">
                  <c:v>46055</c:v>
                </c:pt>
                <c:pt idx="32">
                  <c:v>46062</c:v>
                </c:pt>
                <c:pt idx="33">
                  <c:v>46069</c:v>
                </c:pt>
                <c:pt idx="34">
                  <c:v>46076</c:v>
                </c:pt>
                <c:pt idx="35">
                  <c:v>46083</c:v>
                </c:pt>
                <c:pt idx="36">
                  <c:v>46090</c:v>
                </c:pt>
                <c:pt idx="37">
                  <c:v>46097</c:v>
                </c:pt>
                <c:pt idx="38">
                  <c:v>46104</c:v>
                </c:pt>
                <c:pt idx="39">
                  <c:v>46111</c:v>
                </c:pt>
                <c:pt idx="40">
                  <c:v>46119</c:v>
                </c:pt>
                <c:pt idx="41">
                  <c:v>46125</c:v>
                </c:pt>
                <c:pt idx="42">
                  <c:v>46132</c:v>
                </c:pt>
                <c:pt idx="43">
                  <c:v>46139</c:v>
                </c:pt>
                <c:pt idx="44">
                  <c:v>46146</c:v>
                </c:pt>
                <c:pt idx="45">
                  <c:v>46153</c:v>
                </c:pt>
                <c:pt idx="46">
                  <c:v>46160</c:v>
                </c:pt>
                <c:pt idx="47">
                  <c:v>46167</c:v>
                </c:pt>
                <c:pt idx="48">
                  <c:v>46174</c:v>
                </c:pt>
                <c:pt idx="49">
                  <c:v>46181</c:v>
                </c:pt>
                <c:pt idx="50">
                  <c:v>46188</c:v>
                </c:pt>
              </c:numCache>
            </c:numRef>
          </c:cat>
          <c:val>
            <c:numRef>
              <c:f>'Weekly Updates'!$D$2:$D$52</c:f>
              <c:numCache>
                <c:formatCode>_(* #,##0.00_);_(* \(#,##0.00\);_(* "-"??_);_(@_)</c:formatCode>
                <c:ptCount val="51"/>
                <c:pt idx="0" formatCode="0.00">
                  <c:v>76.36</c:v>
                </c:pt>
                <c:pt idx="1">
                  <c:v>75.680000000000007</c:v>
                </c:pt>
                <c:pt idx="2">
                  <c:v>77.8</c:v>
                </c:pt>
                <c:pt idx="3">
                  <c:v>79.040000000000006</c:v>
                </c:pt>
                <c:pt idx="4">
                  <c:v>75.739999999999995</c:v>
                </c:pt>
                <c:pt idx="5">
                  <c:v>80.94</c:v>
                </c:pt>
                <c:pt idx="6" formatCode="General">
                  <c:v>82.78</c:v>
                </c:pt>
                <c:pt idx="7">
                  <c:v>84.1</c:v>
                </c:pt>
                <c:pt idx="8">
                  <c:v>79.52</c:v>
                </c:pt>
                <c:pt idx="9">
                  <c:v>79.36</c:v>
                </c:pt>
                <c:pt idx="10">
                  <c:v>82.6</c:v>
                </c:pt>
                <c:pt idx="11">
                  <c:v>82.14</c:v>
                </c:pt>
                <c:pt idx="12">
                  <c:v>83</c:v>
                </c:pt>
                <c:pt idx="13">
                  <c:v>84.36</c:v>
                </c:pt>
                <c:pt idx="14">
                  <c:v>82.9</c:v>
                </c:pt>
                <c:pt idx="15">
                  <c:v>82.44</c:v>
                </c:pt>
                <c:pt idx="16">
                  <c:v>85.86</c:v>
                </c:pt>
                <c:pt idx="17">
                  <c:v>89.08</c:v>
                </c:pt>
                <c:pt idx="18">
                  <c:v>90.6</c:v>
                </c:pt>
                <c:pt idx="19">
                  <c:v>91.5</c:v>
                </c:pt>
                <c:pt idx="20">
                  <c:v>87.12</c:v>
                </c:pt>
                <c:pt idx="21">
                  <c:v>96.14</c:v>
                </c:pt>
                <c:pt idx="22">
                  <c:v>95.76</c:v>
                </c:pt>
                <c:pt idx="23">
                  <c:v>93.72</c:v>
                </c:pt>
                <c:pt idx="24">
                  <c:v>97.42</c:v>
                </c:pt>
                <c:pt idx="25">
                  <c:v>97</c:v>
                </c:pt>
                <c:pt idx="26">
                  <c:v>99.24</c:v>
                </c:pt>
                <c:pt idx="27">
                  <c:v>100.3</c:v>
                </c:pt>
                <c:pt idx="28">
                  <c:v>102.1</c:v>
                </c:pt>
                <c:pt idx="29">
                  <c:v>101.65</c:v>
                </c:pt>
                <c:pt idx="30">
                  <c:v>108.95</c:v>
                </c:pt>
                <c:pt idx="31">
                  <c:v>106.75</c:v>
                </c:pt>
                <c:pt idx="32">
                  <c:v>100.4</c:v>
                </c:pt>
                <c:pt idx="33">
                  <c:v>104.15</c:v>
                </c:pt>
                <c:pt idx="34">
                  <c:v>102.45</c:v>
                </c:pt>
                <c:pt idx="35">
                  <c:v>95.42</c:v>
                </c:pt>
                <c:pt idx="36">
                  <c:v>94.18</c:v>
                </c:pt>
                <c:pt idx="37">
                  <c:v>90.78</c:v>
                </c:pt>
                <c:pt idx="38">
                  <c:v>90.44</c:v>
                </c:pt>
                <c:pt idx="39">
                  <c:v>97.94</c:v>
                </c:pt>
                <c:pt idx="40">
                  <c:v>100.9</c:v>
                </c:pt>
                <c:pt idx="41">
                  <c:v>105.12</c:v>
                </c:pt>
                <c:pt idx="42">
                  <c:v>97.77</c:v>
                </c:pt>
                <c:pt idx="43">
                  <c:v>98.24</c:v>
                </c:pt>
                <c:pt idx="44">
                  <c:v>99.03</c:v>
                </c:pt>
                <c:pt idx="45">
                  <c:v>94.06</c:v>
                </c:pt>
                <c:pt idx="46">
                  <c:v>99.6</c:v>
                </c:pt>
                <c:pt idx="47">
                  <c:v>101.9</c:v>
                </c:pt>
                <c:pt idx="48">
                  <c:v>99.16</c:v>
                </c:pt>
                <c:pt idx="49">
                  <c:v>102.35</c:v>
                </c:pt>
                <c:pt idx="50">
                  <c:v>102.65</c:v>
                </c:pt>
              </c:numCache>
            </c:numRef>
          </c:val>
          <c:smooth val="0"/>
          <c:extLst>
            <c:ext xmlns:c16="http://schemas.microsoft.com/office/drawing/2014/chart" uri="{C3380CC4-5D6E-409C-BE32-E72D297353CC}">
              <c16:uniqueId val="{00000002-B9DC-C342-8F4B-D2882EDFF1EF}"/>
            </c:ext>
          </c:extLst>
        </c:ser>
        <c:ser>
          <c:idx val="3"/>
          <c:order val="3"/>
          <c:tx>
            <c:strRef>
              <c:f>'Weekly Updates'!$E$1</c:f>
              <c:strCache>
                <c:ptCount val="1"/>
                <c:pt idx="0">
                  <c:v>Natwest</c:v>
                </c:pt>
              </c:strCache>
            </c:strRef>
          </c:tx>
          <c:spPr>
            <a:ln w="28575" cap="rnd">
              <a:solidFill>
                <a:srgbClr val="7030A0"/>
              </a:solidFill>
              <a:round/>
            </a:ln>
            <a:effectLst/>
          </c:spPr>
          <c:marker>
            <c:symbol val="none"/>
          </c:marker>
          <c:cat>
            <c:numRef>
              <c:f>'Weekly Updates'!$A$2:$A$52</c:f>
              <c:numCache>
                <c:formatCode>m/d/yyyy</c:formatCode>
                <c:ptCount val="51"/>
                <c:pt idx="0">
                  <c:v>45839</c:v>
                </c:pt>
                <c:pt idx="1">
                  <c:v>45845</c:v>
                </c:pt>
                <c:pt idx="2">
                  <c:v>45852</c:v>
                </c:pt>
                <c:pt idx="3">
                  <c:v>45859</c:v>
                </c:pt>
                <c:pt idx="4">
                  <c:v>45866</c:v>
                </c:pt>
                <c:pt idx="5">
                  <c:v>45873</c:v>
                </c:pt>
                <c:pt idx="6">
                  <c:v>45880</c:v>
                </c:pt>
                <c:pt idx="7">
                  <c:v>45887</c:v>
                </c:pt>
                <c:pt idx="8">
                  <c:v>45894</c:v>
                </c:pt>
                <c:pt idx="9">
                  <c:v>45901</c:v>
                </c:pt>
                <c:pt idx="10">
                  <c:v>45908</c:v>
                </c:pt>
                <c:pt idx="11">
                  <c:v>45915</c:v>
                </c:pt>
                <c:pt idx="12">
                  <c:v>45922</c:v>
                </c:pt>
                <c:pt idx="13">
                  <c:v>45929</c:v>
                </c:pt>
                <c:pt idx="14">
                  <c:v>45936</c:v>
                </c:pt>
                <c:pt idx="15">
                  <c:v>45943</c:v>
                </c:pt>
                <c:pt idx="16">
                  <c:v>45950</c:v>
                </c:pt>
                <c:pt idx="17">
                  <c:v>45957</c:v>
                </c:pt>
                <c:pt idx="18">
                  <c:v>45964</c:v>
                </c:pt>
                <c:pt idx="19">
                  <c:v>45971</c:v>
                </c:pt>
                <c:pt idx="20">
                  <c:v>45978</c:v>
                </c:pt>
                <c:pt idx="21">
                  <c:v>45985</c:v>
                </c:pt>
                <c:pt idx="22">
                  <c:v>45992</c:v>
                </c:pt>
                <c:pt idx="23">
                  <c:v>45999</c:v>
                </c:pt>
                <c:pt idx="24">
                  <c:v>46006</c:v>
                </c:pt>
                <c:pt idx="25">
                  <c:v>46013</c:v>
                </c:pt>
                <c:pt idx="26">
                  <c:v>46020</c:v>
                </c:pt>
                <c:pt idx="27">
                  <c:v>46027</c:v>
                </c:pt>
                <c:pt idx="28">
                  <c:v>46034</c:v>
                </c:pt>
                <c:pt idx="29">
                  <c:v>46041</c:v>
                </c:pt>
                <c:pt idx="30">
                  <c:v>46048</c:v>
                </c:pt>
                <c:pt idx="31">
                  <c:v>46055</c:v>
                </c:pt>
                <c:pt idx="32">
                  <c:v>46062</c:v>
                </c:pt>
                <c:pt idx="33">
                  <c:v>46069</c:v>
                </c:pt>
                <c:pt idx="34">
                  <c:v>46076</c:v>
                </c:pt>
                <c:pt idx="35">
                  <c:v>46083</c:v>
                </c:pt>
                <c:pt idx="36">
                  <c:v>46090</c:v>
                </c:pt>
                <c:pt idx="37">
                  <c:v>46097</c:v>
                </c:pt>
                <c:pt idx="38">
                  <c:v>46104</c:v>
                </c:pt>
                <c:pt idx="39">
                  <c:v>46111</c:v>
                </c:pt>
                <c:pt idx="40">
                  <c:v>46119</c:v>
                </c:pt>
                <c:pt idx="41">
                  <c:v>46125</c:v>
                </c:pt>
                <c:pt idx="42">
                  <c:v>46132</c:v>
                </c:pt>
                <c:pt idx="43">
                  <c:v>46139</c:v>
                </c:pt>
                <c:pt idx="44">
                  <c:v>46146</c:v>
                </c:pt>
                <c:pt idx="45">
                  <c:v>46153</c:v>
                </c:pt>
                <c:pt idx="46">
                  <c:v>46160</c:v>
                </c:pt>
                <c:pt idx="47">
                  <c:v>46167</c:v>
                </c:pt>
                <c:pt idx="48">
                  <c:v>46174</c:v>
                </c:pt>
                <c:pt idx="49">
                  <c:v>46181</c:v>
                </c:pt>
                <c:pt idx="50">
                  <c:v>46188</c:v>
                </c:pt>
              </c:numCache>
            </c:numRef>
          </c:cat>
          <c:val>
            <c:numRef>
              <c:f>'Weekly Updates'!$E$2:$E$52</c:f>
              <c:numCache>
                <c:formatCode>_(* #,##0.00_);_(* \(#,##0.00\);_(* "-"??_);_(@_)</c:formatCode>
                <c:ptCount val="51"/>
                <c:pt idx="0" formatCode="0.00">
                  <c:v>501.4</c:v>
                </c:pt>
                <c:pt idx="1">
                  <c:v>491.5</c:v>
                </c:pt>
                <c:pt idx="2">
                  <c:v>496.2</c:v>
                </c:pt>
                <c:pt idx="3">
                  <c:v>519.20000000000005</c:v>
                </c:pt>
                <c:pt idx="4">
                  <c:v>511.6</c:v>
                </c:pt>
                <c:pt idx="5">
                  <c:v>522.79999999999995</c:v>
                </c:pt>
                <c:pt idx="6">
                  <c:v>544</c:v>
                </c:pt>
                <c:pt idx="7">
                  <c:v>562.4</c:v>
                </c:pt>
                <c:pt idx="8">
                  <c:v>510.6</c:v>
                </c:pt>
                <c:pt idx="9">
                  <c:v>506</c:v>
                </c:pt>
                <c:pt idx="10">
                  <c:v>529.20000000000005</c:v>
                </c:pt>
                <c:pt idx="11">
                  <c:v>512.6</c:v>
                </c:pt>
                <c:pt idx="12">
                  <c:v>520.4</c:v>
                </c:pt>
                <c:pt idx="13">
                  <c:v>548</c:v>
                </c:pt>
                <c:pt idx="14">
                  <c:v>541.6</c:v>
                </c:pt>
                <c:pt idx="15">
                  <c:v>532.4</c:v>
                </c:pt>
                <c:pt idx="16">
                  <c:v>572.4</c:v>
                </c:pt>
                <c:pt idx="17">
                  <c:v>584</c:v>
                </c:pt>
                <c:pt idx="18">
                  <c:v>598.79999999999995</c:v>
                </c:pt>
                <c:pt idx="19">
                  <c:v>600.79999999999995</c:v>
                </c:pt>
                <c:pt idx="20">
                  <c:v>579.20000000000005</c:v>
                </c:pt>
                <c:pt idx="21">
                  <c:v>632.20000000000005</c:v>
                </c:pt>
                <c:pt idx="22">
                  <c:v>617.6</c:v>
                </c:pt>
                <c:pt idx="23">
                  <c:v>612</c:v>
                </c:pt>
                <c:pt idx="24">
                  <c:v>644.79999999999995</c:v>
                </c:pt>
                <c:pt idx="25">
                  <c:v>646.79999999999995</c:v>
                </c:pt>
                <c:pt idx="26">
                  <c:v>657.6</c:v>
                </c:pt>
                <c:pt idx="27">
                  <c:v>642.6</c:v>
                </c:pt>
                <c:pt idx="28">
                  <c:v>652.79999999999995</c:v>
                </c:pt>
                <c:pt idx="29">
                  <c:v>646.6</c:v>
                </c:pt>
                <c:pt idx="30">
                  <c:v>665.2</c:v>
                </c:pt>
                <c:pt idx="31">
                  <c:v>659.4</c:v>
                </c:pt>
                <c:pt idx="32">
                  <c:v>580.20000000000005</c:v>
                </c:pt>
                <c:pt idx="33">
                  <c:v>615.6</c:v>
                </c:pt>
                <c:pt idx="34">
                  <c:v>619</c:v>
                </c:pt>
                <c:pt idx="35">
                  <c:v>575.6</c:v>
                </c:pt>
                <c:pt idx="36">
                  <c:v>565.20000000000005</c:v>
                </c:pt>
                <c:pt idx="37">
                  <c:v>519.6</c:v>
                </c:pt>
                <c:pt idx="38">
                  <c:v>539.79999999999995</c:v>
                </c:pt>
                <c:pt idx="39">
                  <c:v>575.4</c:v>
                </c:pt>
                <c:pt idx="40">
                  <c:v>614.4</c:v>
                </c:pt>
                <c:pt idx="41">
                  <c:v>626</c:v>
                </c:pt>
                <c:pt idx="42">
                  <c:v>579.4</c:v>
                </c:pt>
                <c:pt idx="43">
                  <c:v>565.6</c:v>
                </c:pt>
                <c:pt idx="44">
                  <c:v>579.79999999999995</c:v>
                </c:pt>
                <c:pt idx="45">
                  <c:v>561.20000000000005</c:v>
                </c:pt>
                <c:pt idx="46">
                  <c:v>584.20000000000005</c:v>
                </c:pt>
                <c:pt idx="47">
                  <c:v>599.4</c:v>
                </c:pt>
                <c:pt idx="48">
                  <c:v>593.79999999999995</c:v>
                </c:pt>
                <c:pt idx="49">
                  <c:v>614.20000000000005</c:v>
                </c:pt>
                <c:pt idx="50">
                  <c:v>614.79999999999995</c:v>
                </c:pt>
              </c:numCache>
            </c:numRef>
          </c:val>
          <c:smooth val="0"/>
          <c:extLst>
            <c:ext xmlns:c16="http://schemas.microsoft.com/office/drawing/2014/chart" uri="{C3380CC4-5D6E-409C-BE32-E72D297353CC}">
              <c16:uniqueId val="{00000003-B9DC-C342-8F4B-D2882EDFF1EF}"/>
            </c:ext>
          </c:extLst>
        </c:ser>
        <c:dLbls>
          <c:showLegendKey val="0"/>
          <c:showVal val="0"/>
          <c:showCatName val="0"/>
          <c:showSerName val="0"/>
          <c:showPercent val="0"/>
          <c:showBubbleSize val="0"/>
        </c:dLbls>
        <c:smooth val="0"/>
        <c:axId val="484141295"/>
        <c:axId val="483892335"/>
      </c:lineChart>
      <c:dateAx>
        <c:axId val="484141295"/>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92335"/>
        <c:crosses val="autoZero"/>
        <c:auto val="1"/>
        <c:lblOffset val="100"/>
        <c:baseTimeUnit val="days"/>
      </c:dateAx>
      <c:valAx>
        <c:axId val="483892335"/>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41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412750</xdr:colOff>
      <xdr:row>55</xdr:row>
      <xdr:rowOff>95250</xdr:rowOff>
    </xdr:from>
    <xdr:to>
      <xdr:col>7</xdr:col>
      <xdr:colOff>444500</xdr:colOff>
      <xdr:row>85</xdr:row>
      <xdr:rowOff>63500</xdr:rowOff>
    </xdr:to>
    <xdr:graphicFrame macro="">
      <xdr:nvGraphicFramePr>
        <xdr:cNvPr id="8" name="Chart 7">
          <a:extLst>
            <a:ext uri="{FF2B5EF4-FFF2-40B4-BE49-F238E27FC236}">
              <a16:creationId xmlns:a16="http://schemas.microsoft.com/office/drawing/2014/main" id="{D26B48B8-F768-7B41-8CBF-D3E75E7DF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984250</xdr:colOff>
      <xdr:row>55</xdr:row>
      <xdr:rowOff>158750</xdr:rowOff>
    </xdr:from>
    <xdr:to>
      <xdr:col>8</xdr:col>
      <xdr:colOff>2596093</xdr:colOff>
      <xdr:row>85</xdr:row>
      <xdr:rowOff>31750</xdr:rowOff>
    </xdr:to>
    <xdr:graphicFrame macro="">
      <xdr:nvGraphicFramePr>
        <xdr:cNvPr id="9" name="Chart 8">
          <a:extLst>
            <a:ext uri="{FF2B5EF4-FFF2-40B4-BE49-F238E27FC236}">
              <a16:creationId xmlns:a16="http://schemas.microsoft.com/office/drawing/2014/main" id="{A8A7E126-86B4-3E40-88BC-1B3E043B7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338665</xdr:colOff>
      <xdr:row>11</xdr:row>
      <xdr:rowOff>8466</xdr:rowOff>
    </xdr:from>
    <xdr:to>
      <xdr:col>5</xdr:col>
      <xdr:colOff>711199</xdr:colOff>
      <xdr:row>21</xdr:row>
      <xdr:rowOff>220133</xdr:rowOff>
    </xdr:to>
    <xdr:graphicFrame macro="">
      <xdr:nvGraphicFramePr>
        <xdr:cNvPr id="2" name="Chart 1">
          <a:extLst>
            <a:ext uri="{FF2B5EF4-FFF2-40B4-BE49-F238E27FC236}">
              <a16:creationId xmlns:a16="http://schemas.microsoft.com/office/drawing/2014/main" id="{6C980807-AE30-6F4C-9A99-6B847D4C4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xdr:colOff>
      <xdr:row>10</xdr:row>
      <xdr:rowOff>304800</xdr:rowOff>
    </xdr:from>
    <xdr:to>
      <xdr:col>15</xdr:col>
      <xdr:colOff>787400</xdr:colOff>
      <xdr:row>21</xdr:row>
      <xdr:rowOff>203201</xdr:rowOff>
    </xdr:to>
    <xdr:graphicFrame macro="">
      <xdr:nvGraphicFramePr>
        <xdr:cNvPr id="3" name="Chart 2">
          <a:extLst>
            <a:ext uri="{FF2B5EF4-FFF2-40B4-BE49-F238E27FC236}">
              <a16:creationId xmlns:a16="http://schemas.microsoft.com/office/drawing/2014/main" id="{C73B2A21-F91F-BD4F-A1E8-06BBBC9A0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5">
  <a r="1" c="50">
    <v t="i">1</v>
    <v t="i">8</v>
    <v t="i">15</v>
    <v t="i">22</v>
    <v t="i">29</v>
    <v t="i">36</v>
    <v t="i">43</v>
    <v t="i">50</v>
    <v t="i">57</v>
    <v t="i">64</v>
    <v t="i">71</v>
    <v t="i">78</v>
    <v t="i">85</v>
    <v t="i">92</v>
    <v t="i">99</v>
    <v t="i">106</v>
    <v t="i">113</v>
    <v t="i">120</v>
    <v t="i">127</v>
    <v t="i">134</v>
    <v t="i">141</v>
    <v t="i">148</v>
    <v t="i">155</v>
    <v t="i">162</v>
    <v t="i">169</v>
    <v t="i">176</v>
    <v t="i">183</v>
    <v t="i">190</v>
    <v t="i">197</v>
    <v t="i">204</v>
    <v t="i">211</v>
    <v t="i">218</v>
    <v t="i">225</v>
    <v t="i">232</v>
    <v t="i">239</v>
    <v t="i">246</v>
    <v t="i">253</v>
    <v t="i">260</v>
    <v t="i">267</v>
    <v t="i">275</v>
    <v t="i">281</v>
    <v t="i">288</v>
    <v t="i">295</v>
    <v t="i">302</v>
    <v t="i">309</v>
    <v t="i">316</v>
    <v t="i">323</v>
    <v t="i">330</v>
    <v t="i">337</v>
    <v t="i">344</v>
  </a>
  <a r="1" c="50">
    <v>75.680000000000007</v>
    <v>77.8</v>
    <v>79.040000000000006</v>
    <v>75.739999999999995</v>
    <v>80.94</v>
    <v>82.78</v>
    <v>84.1</v>
    <v>79.52</v>
    <v>79.36</v>
    <v>82.6</v>
    <v>82.14</v>
    <v>83</v>
    <v>84.36</v>
    <v>82.9</v>
    <v>82.44</v>
    <v>85.86</v>
    <v>89.08</v>
    <v>90.6</v>
    <v>91.5</v>
    <v>87.12</v>
    <v>96.14</v>
    <v>95.76</v>
    <v>93.72</v>
    <v>97.42</v>
    <v>97</v>
    <v>99.24</v>
    <v>100.3</v>
    <v>102.1</v>
    <v>101.65</v>
    <v>108.95</v>
    <v>106.75</v>
    <v>100.4</v>
    <v>104.15</v>
    <v>102.45</v>
    <v>95.42</v>
    <v>94.18</v>
    <v>90.78</v>
    <v>90.44</v>
    <v>97.94</v>
    <v>100.9</v>
    <v>105.12</v>
    <v>97.77</v>
    <v>98.24</v>
    <v>99.03</v>
    <v>94.06</v>
    <v>99.6</v>
    <v>101.9</v>
    <v>99.16</v>
    <v>102.35</v>
    <v>105.1</v>
  </a>
  <a r="1" c="50">
    <v>491.5</v>
    <v>496.2</v>
    <v>519.20000000000005</v>
    <v>511.6</v>
    <v>522.79999999999995</v>
    <v>544</v>
    <v>562.4</v>
    <v>510.6</v>
    <v>506</v>
    <v>529.20000000000005</v>
    <v>512.6</v>
    <v>520.4</v>
    <v>548</v>
    <v>541.6</v>
    <v>532.4</v>
    <v>572.4</v>
    <v>584</v>
    <v>598.79999999999995</v>
    <v>600.79999999999995</v>
    <v>579.20000000000005</v>
    <v>632.20000000000005</v>
    <v>617.6</v>
    <v>612</v>
    <v>644.79999999999995</v>
    <v>646.79999999999995</v>
    <v>657.6</v>
    <v>642.6</v>
    <v>652.79999999999995</v>
    <v>646.6</v>
    <v>665.2</v>
    <v>659.4</v>
    <v>580.20000000000005</v>
    <v>615.6</v>
    <v>619</v>
    <v>575.6</v>
    <v>565.20000000000005</v>
    <v>519.6</v>
    <v>539.79999999999995</v>
    <v>575.4</v>
    <v>614.4</v>
    <v>626</v>
    <v>579.4</v>
    <v>565.6</v>
    <v>579.79999999999995</v>
    <v>561.20000000000005</v>
    <v>584.20000000000005</v>
    <v>599.4</v>
    <v>593.79999999999995</v>
    <v>614.20000000000005</v>
    <v>637.79999999999995</v>
  </a>
  <a r="1" c="50">
    <v>340</v>
    <v>349.65</v>
    <v>360.5</v>
    <v>356.65</v>
    <v>367.95</v>
    <v>371.15</v>
    <v>376.45</v>
    <v>360.4</v>
    <v>361.05</v>
    <v>380.1</v>
    <v>381.65</v>
    <v>382.6</v>
    <v>385.35</v>
    <v>372.5</v>
    <v>357.8</v>
    <v>388.3</v>
    <v>407</v>
    <v>404.7</v>
    <v>413.5</v>
    <v>392.2</v>
    <v>430.25</v>
    <v>434.4</v>
    <v>444.35</v>
    <v>468.95</v>
    <v>469.75</v>
    <v>479.5</v>
    <v>484.9</v>
    <v>488.95</v>
    <v>480.3</v>
    <v>486.2</v>
    <v>479.1</v>
    <v>454</v>
    <v>473.8</v>
    <v>452.85</v>
    <v>404.15</v>
    <v>386.25</v>
    <v>373.9</v>
    <v>382.2</v>
    <v>408.75</v>
    <v>441</v>
    <v>452.85</v>
    <v>424.1</v>
    <v>433.75</v>
    <v>435</v>
    <v>423.3</v>
    <v>445.8</v>
    <v>457.95</v>
    <v>457.65</v>
    <v>472.85</v>
    <v>496.45</v>
  </a>
  <a r="1" c="50">
    <v>910.5</v>
    <v>933</v>
    <v>958.4</v>
    <v>917.9</v>
    <v>939.3</v>
    <v>938.9</v>
    <v>967.3</v>
    <v>946.7</v>
    <v>963</v>
    <v>1007</v>
    <v>1027.8</v>
    <v>1038.8</v>
    <v>1061.8</v>
    <v>993.9</v>
    <v>964.3</v>
    <v>1004</v>
    <v>1063.4000000000001</v>
    <v>1070.8</v>
    <v>1104.4000000000001</v>
    <v>1041.4000000000001</v>
    <v>1070.2</v>
    <v>1062</v>
    <v>1111.8</v>
    <v>1167</v>
    <v>1175.4000000000001</v>
    <v>1191.8</v>
    <v>1194.2</v>
    <v>1232</v>
    <v>1231</v>
    <v>1285.4000000000001</v>
    <v>1305.8</v>
    <v>1238.5999999999999</v>
    <v>1290</v>
    <v>1393.6</v>
    <v>1245</v>
    <v>1180.4000000000001</v>
    <v>1144.2</v>
    <v>1200</v>
    <v>1272.8</v>
    <v>1340.2</v>
    <v>1365.2</v>
    <v>1321</v>
    <v>1359.4</v>
    <v>1319.8</v>
    <v>1324</v>
    <v>1374.2</v>
    <v>1393.6</v>
    <v>1360.8</v>
    <v>1372.8</v>
    <v>1431.6</v>
  </a>
</arrayData>
</file>

<file path=xl/richData/rdrichvalue.xml><?xml version="1.0" encoding="utf-8"?>
<rvData xmlns="http://schemas.microsoft.com/office/spreadsheetml/2017/richdata" count="255">
  <rv s="0">
    <fb>45845</fb>
    <v>0</v>
  </rv>
  <rv s="0">
    <fb>340</fb>
    <v>1</v>
  </rv>
  <rv s="0">
    <fb>75.680000000000007</fb>
    <v>1</v>
  </rv>
  <rv s="0">
    <fb>491.5</fb>
    <v>1</v>
  </rv>
  <rv s="0">
    <fb>45852</fb>
    <v>0</v>
  </rv>
  <rv s="0">
    <fb>349.65</fb>
    <v>1</v>
  </rv>
  <rv s="0">
    <fb>77.8</fb>
    <v>1</v>
  </rv>
  <rv s="0">
    <fb>496.2</fb>
    <v>1</v>
  </rv>
  <rv s="0">
    <fb>45859</fb>
    <v>0</v>
  </rv>
  <rv s="0">
    <fb>360.5</fb>
    <v>1</v>
  </rv>
  <rv s="0">
    <fb>958.4</fb>
    <v>1</v>
  </rv>
  <rv s="0">
    <fb>79.040000000000006</fb>
    <v>1</v>
  </rv>
  <rv s="0">
    <fb>519.20000000000005</fb>
    <v>1</v>
  </rv>
  <rv s="0">
    <fb>45866</fb>
    <v>0</v>
  </rv>
  <rv s="0">
    <fb>356.65</fb>
    <v>1</v>
  </rv>
  <rv s="0">
    <fb>917.9</fb>
    <v>1</v>
  </rv>
  <rv s="0">
    <fb>75.739999999999995</fb>
    <v>1</v>
  </rv>
  <rv s="0">
    <fb>511.6</fb>
    <v>1</v>
  </rv>
  <rv s="0">
    <fb>45873</fb>
    <v>0</v>
  </rv>
  <rv s="0">
    <fb>367.95</fb>
    <v>1</v>
  </rv>
  <rv s="0">
    <fb>939.3</fb>
    <v>1</v>
  </rv>
  <rv s="0">
    <fb>80.94</fb>
    <v>1</v>
  </rv>
  <rv s="0">
    <fb>522.79999999999995</fb>
    <v>1</v>
  </rv>
  <rv s="0">
    <fb>45880</fb>
    <v>0</v>
  </rv>
  <rv s="0">
    <fb>371.15</fb>
    <v>1</v>
  </rv>
  <rv s="0">
    <fb>938.9</fb>
    <v>1</v>
  </rv>
  <rv s="0">
    <fb>544</fb>
    <v>1</v>
  </rv>
  <rv s="0">
    <fb>45887</fb>
    <v>0</v>
  </rv>
  <rv s="0">
    <fb>376.45</fb>
    <v>1</v>
  </rv>
  <rv s="0">
    <fb>967.3</fb>
    <v>1</v>
  </rv>
  <rv s="0">
    <fb>84.1</fb>
    <v>1</v>
  </rv>
  <rv s="0">
    <fb>562.4</fb>
    <v>1</v>
  </rv>
  <rv s="0">
    <fb>45894</fb>
    <v>0</v>
  </rv>
  <rv s="0">
    <fb>360.4</fb>
    <v>1</v>
  </rv>
  <rv s="0">
    <fb>946.7</fb>
    <v>1</v>
  </rv>
  <rv s="0">
    <fb>79.52</fb>
    <v>1</v>
  </rv>
  <rv s="0">
    <fb>510.6</fb>
    <v>1</v>
  </rv>
  <rv s="0">
    <fb>45901</fb>
    <v>0</v>
  </rv>
  <rv s="0">
    <fb>361.05</fb>
    <v>1</v>
  </rv>
  <rv s="0">
    <fb>963</fb>
    <v>1</v>
  </rv>
  <rv s="0">
    <fb>79.36</fb>
    <v>1</v>
  </rv>
  <rv s="0">
    <fb>506</fb>
    <v>1</v>
  </rv>
  <rv s="0">
    <fb>45908</fb>
    <v>0</v>
  </rv>
  <rv s="0">
    <fb>380.1</fb>
    <v>1</v>
  </rv>
  <rv s="0">
    <fb>1007</fb>
    <v>1</v>
  </rv>
  <rv s="0">
    <fb>82.6</fb>
    <v>1</v>
  </rv>
  <rv s="0">
    <fb>529.20000000000005</fb>
    <v>1</v>
  </rv>
  <rv s="0">
    <fb>45915</fb>
    <v>0</v>
  </rv>
  <rv s="0">
    <fb>381.65</fb>
    <v>1</v>
  </rv>
  <rv s="0">
    <fb>1027.8</fb>
    <v>1</v>
  </rv>
  <rv s="0">
    <fb>82.14</fb>
    <v>1</v>
  </rv>
  <rv s="0">
    <fb>512.6</fb>
    <v>1</v>
  </rv>
  <rv s="0">
    <fb>45922</fb>
    <v>0</v>
  </rv>
  <rv s="0">
    <fb>382.6</fb>
    <v>1</v>
  </rv>
  <rv s="0">
    <fb>1038.8</fb>
    <v>1</v>
  </rv>
  <rv s="0">
    <fb>83</fb>
    <v>1</v>
  </rv>
  <rv s="0">
    <fb>520.4</fb>
    <v>1</v>
  </rv>
  <rv s="0">
    <fb>45929</fb>
    <v>0</v>
  </rv>
  <rv s="0">
    <fb>385.35</fb>
    <v>1</v>
  </rv>
  <rv s="0">
    <fb>1061.8</fb>
    <v>1</v>
  </rv>
  <rv s="0">
    <fb>84.36</fb>
    <v>1</v>
  </rv>
  <rv s="0">
    <fb>548</fb>
    <v>1</v>
  </rv>
  <rv s="0">
    <fb>45936</fb>
    <v>0</v>
  </rv>
  <rv s="0">
    <fb>372.5</fb>
    <v>1</v>
  </rv>
  <rv s="0">
    <fb>993.9</fb>
    <v>1</v>
  </rv>
  <rv s="0">
    <fb>82.9</fb>
    <v>1</v>
  </rv>
  <rv s="0">
    <fb>541.6</fb>
    <v>1</v>
  </rv>
  <rv s="0">
    <fb>45943</fb>
    <v>0</v>
  </rv>
  <rv s="0">
    <fb>357.8</fb>
    <v>1</v>
  </rv>
  <rv s="0">
    <fb>964.3</fb>
    <v>1</v>
  </rv>
  <rv s="0">
    <fb>82.44</fb>
    <v>1</v>
  </rv>
  <rv s="0">
    <fb>532.4</fb>
    <v>1</v>
  </rv>
  <rv s="0">
    <fb>45950</fb>
    <v>0</v>
  </rv>
  <rv s="0">
    <fb>388.3</fb>
    <v>1</v>
  </rv>
  <rv s="0">
    <fb>1004</fb>
    <v>1</v>
  </rv>
  <rv s="0">
    <fb>85.86</fb>
    <v>1</v>
  </rv>
  <rv s="0">
    <fb>572.4</fb>
    <v>1</v>
  </rv>
  <rv s="0">
    <fb>45957</fb>
    <v>0</v>
  </rv>
  <rv s="0">
    <fb>407</fb>
    <v>1</v>
  </rv>
  <rv s="0">
    <fb>1063.4000000000001</fb>
    <v>1</v>
  </rv>
  <rv s="0">
    <fb>89.08</fb>
    <v>1</v>
  </rv>
  <rv s="0">
    <fb>584</fb>
    <v>1</v>
  </rv>
  <rv s="0">
    <fb>45964</fb>
    <v>0</v>
  </rv>
  <rv s="0">
    <fb>404.7</fb>
    <v>1</v>
  </rv>
  <rv s="0">
    <fb>1070.8</fb>
    <v>1</v>
  </rv>
  <rv s="0">
    <fb>90.6</fb>
    <v>1</v>
  </rv>
  <rv s="0">
    <fb>598.79999999999995</fb>
    <v>1</v>
  </rv>
  <rv s="0">
    <fb>45971</fb>
    <v>0</v>
  </rv>
  <rv s="0">
    <fb>413.5</fb>
    <v>1</v>
  </rv>
  <rv s="0">
    <fb>1104.4000000000001</fb>
    <v>1</v>
  </rv>
  <rv s="0">
    <fb>91.5</fb>
    <v>1</v>
  </rv>
  <rv s="0">
    <fb>600.79999999999995</fb>
    <v>1</v>
  </rv>
  <rv s="0">
    <fb>45978</fb>
    <v>0</v>
  </rv>
  <rv s="0">
    <fb>392.2</fb>
    <v>1</v>
  </rv>
  <rv s="0">
    <fb>1041.4000000000001</fb>
    <v>1</v>
  </rv>
  <rv s="0">
    <fb>87.12</fb>
    <v>1</v>
  </rv>
  <rv s="0">
    <fb>579.20000000000005</fb>
    <v>1</v>
  </rv>
  <rv s="0">
    <fb>45985</fb>
    <v>0</v>
  </rv>
  <rv s="0">
    <fb>430.25</fb>
    <v>1</v>
  </rv>
  <rv s="0">
    <fb>1070.2</fb>
    <v>1</v>
  </rv>
  <rv s="0">
    <fb>96.14</fb>
    <v>1</v>
  </rv>
  <rv s="0">
    <fb>632.20000000000005</fb>
    <v>1</v>
  </rv>
  <rv s="0">
    <fb>45992</fb>
    <v>0</v>
  </rv>
  <rv s="0">
    <fb>434.4</fb>
    <v>1</v>
  </rv>
  <rv s="0">
    <fb>1062</fb>
    <v>1</v>
  </rv>
  <rv s="0">
    <fb>95.76</fb>
    <v>1</v>
  </rv>
  <rv s="0">
    <fb>617.6</fb>
    <v>1</v>
  </rv>
  <rv s="0">
    <fb>45999</fb>
    <v>0</v>
  </rv>
  <rv s="0">
    <fb>444.35</fb>
    <v>1</v>
  </rv>
  <rv s="0">
    <fb>1111.8</fb>
    <v>1</v>
  </rv>
  <rv s="0">
    <fb>93.72</fb>
    <v>1</v>
  </rv>
  <rv s="0">
    <fb>612</fb>
    <v>1</v>
  </rv>
  <rv s="0">
    <fb>46006</fb>
    <v>0</v>
  </rv>
  <rv s="0">
    <fb>468.95</fb>
    <v>1</v>
  </rv>
  <rv s="0">
    <fb>1167</fb>
    <v>1</v>
  </rv>
  <rv s="0">
    <fb>97.42</fb>
    <v>1</v>
  </rv>
  <rv s="0">
    <fb>644.79999999999995</fb>
    <v>1</v>
  </rv>
  <rv s="0">
    <fb>46013</fb>
    <v>0</v>
  </rv>
  <rv s="0">
    <fb>469.75</fb>
    <v>1</v>
  </rv>
  <rv s="0">
    <fb>1175.4000000000001</fb>
    <v>1</v>
  </rv>
  <rv s="0">
    <fb>97</fb>
    <v>1</v>
  </rv>
  <rv s="0">
    <fb>646.79999999999995</fb>
    <v>1</v>
  </rv>
  <rv s="0">
    <fb>46020</fb>
    <v>0</v>
  </rv>
  <rv s="0">
    <fb>479.5</fb>
    <v>1</v>
  </rv>
  <rv s="0">
    <fb>1191.8</fb>
    <v>1</v>
  </rv>
  <rv s="0">
    <fb>99.24</fb>
    <v>1</v>
  </rv>
  <rv s="0">
    <fb>657.6</fb>
    <v>1</v>
  </rv>
  <rv s="0">
    <fb>46027</fb>
    <v>0</v>
  </rv>
  <rv s="0">
    <fb>484.9</fb>
    <v>1</v>
  </rv>
  <rv s="0">
    <fb>1194.2</fb>
    <v>1</v>
  </rv>
  <rv s="0">
    <fb>100.3</fb>
    <v>1</v>
  </rv>
  <rv s="0">
    <fb>642.6</fb>
    <v>1</v>
  </rv>
  <rv s="0">
    <fb>46034</fb>
    <v>0</v>
  </rv>
  <rv s="0">
    <fb>488.95</fb>
    <v>1</v>
  </rv>
  <rv s="0">
    <fb>1232</fb>
    <v>1</v>
  </rv>
  <rv s="0">
    <fb>102.1</fb>
    <v>1</v>
  </rv>
  <rv s="0">
    <fb>652.79999999999995</fb>
    <v>1</v>
  </rv>
  <rv s="0">
    <fb>46041</fb>
    <v>0</v>
  </rv>
  <rv s="0">
    <fb>480.3</fb>
    <v>1</v>
  </rv>
  <rv s="0">
    <fb>1231</fb>
    <v>1</v>
  </rv>
  <rv s="0">
    <fb>101.65</fb>
    <v>1</v>
  </rv>
  <rv s="0">
    <fb>646.6</fb>
    <v>1</v>
  </rv>
  <rv s="0">
    <fb>46048</fb>
    <v>0</v>
  </rv>
  <rv s="0">
    <fb>486.2</fb>
    <v>1</v>
  </rv>
  <rv s="0">
    <fb>1285.4000000000001</fb>
    <v>1</v>
  </rv>
  <rv s="0">
    <fb>108.95</fb>
    <v>1</v>
  </rv>
  <rv s="0">
    <fb>665.2</fb>
    <v>1</v>
  </rv>
  <rv s="0">
    <fb>46055</fb>
    <v>0</v>
  </rv>
  <rv s="0">
    <fb>479.1</fb>
    <v>1</v>
  </rv>
  <rv s="0">
    <fb>1305.8</fb>
    <v>1</v>
  </rv>
  <rv s="0">
    <fb>106.75</fb>
    <v>1</v>
  </rv>
  <rv s="0">
    <fb>659.4</fb>
    <v>1</v>
  </rv>
  <rv s="0">
    <fb>46062</fb>
    <v>0</v>
  </rv>
  <rv s="0">
    <fb>454</fb>
    <v>1</v>
  </rv>
  <rv s="0">
    <fb>1238.5999999999999</fb>
    <v>1</v>
  </rv>
  <rv s="0">
    <fb>100.4</fb>
    <v>1</v>
  </rv>
  <rv s="0">
    <fb>580.20000000000005</fb>
    <v>1</v>
  </rv>
  <rv s="0">
    <fb>46069</fb>
    <v>0</v>
  </rv>
  <rv s="0">
    <fb>473.8</fb>
    <v>1</v>
  </rv>
  <rv s="0">
    <fb>1290</fb>
    <v>1</v>
  </rv>
  <rv s="0">
    <fb>104.15</fb>
    <v>1</v>
  </rv>
  <rv s="0">
    <fb>615.6</fb>
    <v>1</v>
  </rv>
  <rv s="0">
    <fb>46076</fb>
    <v>0</v>
  </rv>
  <rv s="0">
    <fb>452.85</fb>
    <v>1</v>
  </rv>
  <rv s="0">
    <fb>1393.6</fb>
    <v>1</v>
  </rv>
  <rv s="0">
    <fb>102.45</fb>
    <v>1</v>
  </rv>
  <rv s="0">
    <fb>619</fb>
    <v>1</v>
  </rv>
  <rv s="0">
    <fb>46083</fb>
    <v>0</v>
  </rv>
  <rv s="0">
    <fb>404.15</fb>
    <v>1</v>
  </rv>
  <rv s="0">
    <fb>1245</fb>
    <v>1</v>
  </rv>
  <rv s="0">
    <fb>95.42</fb>
    <v>1</v>
  </rv>
  <rv s="0">
    <fb>575.6</fb>
    <v>1</v>
  </rv>
  <rv s="0">
    <fb>46090</fb>
    <v>0</v>
  </rv>
  <rv s="0">
    <fb>386.25</fb>
    <v>1</v>
  </rv>
  <rv s="0">
    <fb>1180.4000000000001</fb>
    <v>1</v>
  </rv>
  <rv s="0">
    <fb>94.18</fb>
    <v>1</v>
  </rv>
  <rv s="0">
    <fb>565.20000000000005</fb>
    <v>1</v>
  </rv>
  <rv s="0">
    <fb>46097</fb>
    <v>0</v>
  </rv>
  <rv s="0">
    <fb>373.9</fb>
    <v>1</v>
  </rv>
  <rv s="0">
    <fb>1144.2</fb>
    <v>1</v>
  </rv>
  <rv s="0">
    <fb>90.78</fb>
    <v>1</v>
  </rv>
  <rv s="0">
    <fb>519.6</fb>
    <v>1</v>
  </rv>
  <rv s="0">
    <fb>46104</fb>
    <v>0</v>
  </rv>
  <rv s="0">
    <fb>382.2</fb>
    <v>1</v>
  </rv>
  <rv s="0">
    <fb>1200</fb>
    <v>1</v>
  </rv>
  <rv s="0">
    <fb>90.44</fb>
    <v>1</v>
  </rv>
  <rv s="0">
    <fb>539.79999999999995</fb>
    <v>1</v>
  </rv>
  <rv s="0">
    <fb>46111</fb>
    <v>0</v>
  </rv>
  <rv s="0">
    <fb>408.75</fb>
    <v>1</v>
  </rv>
  <rv s="0">
    <fb>1272.8</fb>
    <v>1</v>
  </rv>
  <rv s="0">
    <fb>97.94</fb>
    <v>1</v>
  </rv>
  <rv s="0">
    <fb>575.4</fb>
    <v>1</v>
  </rv>
  <rv s="0">
    <fb>46119</fb>
    <v>0</v>
  </rv>
  <rv s="0">
    <fb>441</fb>
    <v>1</v>
  </rv>
  <rv s="0">
    <fb>1340.2</fb>
    <v>1</v>
  </rv>
  <rv s="0">
    <fb>100.9</fb>
    <v>1</v>
  </rv>
  <rv s="0">
    <fb>614.4</fb>
    <v>1</v>
  </rv>
  <rv s="0">
    <fb>46125</fb>
    <v>0</v>
  </rv>
  <rv s="0">
    <fb>1365.2</fb>
    <v>1</v>
  </rv>
  <rv s="0">
    <fb>105.12</fb>
    <v>1</v>
  </rv>
  <rv s="0">
    <fb>626</fb>
    <v>1</v>
  </rv>
  <rv s="0">
    <fb>46132</fb>
    <v>0</v>
  </rv>
  <rv s="0">
    <fb>424.1</fb>
    <v>1</v>
  </rv>
  <rv s="0">
    <fb>1321</fb>
    <v>1</v>
  </rv>
  <rv s="0">
    <fb>97.77</fb>
    <v>1</v>
  </rv>
  <rv s="0">
    <fb>579.4</fb>
    <v>1</v>
  </rv>
  <rv s="0">
    <fb>46139</fb>
    <v>0</v>
  </rv>
  <rv s="0">
    <fb>433.75</fb>
    <v>1</v>
  </rv>
  <rv s="0">
    <fb>1359.4</fb>
    <v>1</v>
  </rv>
  <rv s="0">
    <fb>98.24</fb>
    <v>1</v>
  </rv>
  <rv s="0">
    <fb>565.6</fb>
    <v>1</v>
  </rv>
  <rv s="0">
    <fb>46146</fb>
    <v>0</v>
  </rv>
  <rv s="0">
    <fb>435</fb>
    <v>1</v>
  </rv>
  <rv s="0">
    <fb>1319.8</fb>
    <v>1</v>
  </rv>
  <rv s="0">
    <fb>99.03</fb>
    <v>1</v>
  </rv>
  <rv s="0">
    <fb>579.79999999999995</fb>
    <v>1</v>
  </rv>
  <rv s="0">
    <fb>46153</fb>
    <v>0</v>
  </rv>
  <rv s="0">
    <fb>423.3</fb>
    <v>1</v>
  </rv>
  <rv s="0">
    <fb>1324</fb>
    <v>1</v>
  </rv>
  <rv s="0">
    <fb>94.06</fb>
    <v>1</v>
  </rv>
  <rv s="0">
    <fb>561.20000000000005</fb>
    <v>1</v>
  </rv>
  <rv s="0">
    <fb>46160</fb>
    <v>0</v>
  </rv>
  <rv s="0">
    <fb>445.8</fb>
    <v>1</v>
  </rv>
  <rv s="0">
    <fb>1374.2</fb>
    <v>1</v>
  </rv>
  <rv s="0">
    <fb>99.6</fb>
    <v>1</v>
  </rv>
  <rv s="0">
    <fb>584.20000000000005</fb>
    <v>1</v>
  </rv>
  <rv s="0">
    <fb>46167</fb>
    <v>0</v>
  </rv>
  <rv s="0">
    <fb>457.95</fb>
    <v>1</v>
  </rv>
  <rv s="0">
    <fb>101.9</fb>
    <v>1</v>
  </rv>
  <rv s="0">
    <fb>599.4</fb>
    <v>1</v>
  </rv>
  <rv s="0">
    <fb>46174</fb>
    <v>0</v>
  </rv>
  <rv s="0">
    <fb>457.65</fb>
    <v>1</v>
  </rv>
  <rv s="0">
    <fb>1360.8</fb>
    <v>1</v>
  </rv>
  <rv s="0">
    <fb>99.16</fb>
    <v>1</v>
  </rv>
  <rv s="0">
    <fb>593.79999999999995</fb>
    <v>1</v>
  </rv>
  <rv s="0">
    <fb>46181</fb>
    <v>0</v>
  </rv>
  <rv s="0">
    <fb>472.85</fb>
    <v>1</v>
  </rv>
  <rv s="0">
    <fb>1372.8</fb>
    <v>1</v>
  </rv>
  <rv s="0">
    <fb>102.35</fb>
    <v>1</v>
  </rv>
  <rv s="0">
    <fb>614.20000000000005</fb>
    <v>1</v>
  </rv>
  <rv s="0">
    <fb>46188</fb>
    <v>0</v>
  </rv>
  <rv s="0">
    <fb>496.45</fb>
    <v>1</v>
  </rv>
  <rv s="0">
    <fb>1384.6</fb>
    <v>1</v>
  </rv>
  <rv s="0">
    <fb>102.65</fb>
    <v>1</v>
  </rv>
  <rv s="0">
    <fb>614.79999999999995</fb>
    <v>1</v>
  </rv>
  <rv s="0">
    <fb>910.5</fb>
    <v>1</v>
  </rv>
  <rv s="0">
    <fb>933</fb>
    <v>1</v>
  </rv>
  <rv s="0">
    <fb>82.78</fb>
    <v>1</v>
  </rv>
  <rv s="0">
    <fb>1431.6</fb>
    <v>1</v>
  </rv>
  <rv s="0">
    <fb>105.1</fb>
    <v>1</v>
  </rv>
  <rv s="0">
    <fb>637.79999999999995</fb>
    <v>1</v>
  </rv>
  <rv s="1">
    <v>2</v>
    <v>LLOY</v>
    <v>Weekly</v>
    <v>45844</v>
    <v>46193</v>
    <v>0</v>
    <v>1</v>
    <v>639174240000000000,639243216881737295,0</v>
    <v>0</v>
    <v>aob7c7</v>
    <v>XLON:LLOY</v>
    <v>1</v>
  </rv>
  <rv s="1">
    <v>2</v>
    <v>NWG</v>
    <v>Weekly</v>
    <v>45844</v>
    <v>46193</v>
    <v>0</v>
    <v>1</v>
    <v>639174240000000000,639243216882087895,0</v>
    <v>0</v>
    <v>aoct5r</v>
    <v>XLON:NWG</v>
    <v>2</v>
  </rv>
  <rv s="1">
    <v>2</v>
    <v>BARC</v>
    <v>Weekly</v>
    <v>45844</v>
    <v>46193</v>
    <v>0</v>
    <v>1</v>
    <v>639174240000000000,639243216881907293,0</v>
    <v>0</v>
    <v>ao6aw7</v>
    <v>XLON:BARC</v>
    <v>3</v>
  </rv>
  <rv s="1">
    <v>2</v>
    <v>HSBA</v>
    <v>Weekly</v>
    <v>45844</v>
    <v>46193</v>
    <v>0</v>
    <v>1</v>
    <v>639174240000000000,639243216881560291,0</v>
    <v>0</v>
    <v>ao9rm7</v>
    <v>XLON:HSBA</v>
    <v>4</v>
  </rv>
</rvData>
</file>

<file path=xl/richData/rdrichvaluestructure.xml><?xml version="1.0" encoding="utf-8"?>
<rvStructures xmlns="http://schemas.microsoft.com/office/spreadsheetml/2017/richdata" count="2">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3">
    <spb s="0">
      <v>1</v>
    </spb>
    <spb s="0">
      <v>2</v>
    </spb>
    <spb s="1">
      <v>1</v>
      <v>2</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19" formatCode="dd/mm/yyyy"/>
    </x:dxf>
    <x:dxf>
      <x:numFmt numFmtId="35" formatCode="_-* #,##0.00_-;\-* #,##0.00_-;_-* &quot;-&quot;??_-;_-@_-"/>
    </x:dxf>
  </dxfs>
  <richProperties>
    <rPr n="NumberFormat" t="s"/>
  </richProperties>
  <richStyles>
    <rSty dxfid="0"/>
    <rSty dxfid="1">
      <rpv i="0">_(* #,##0.00_);_(* (#,##0.00);_(* "-"??_);_(@_)</rpv>
    </rSty>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B92BD-5B0D-804A-8BF5-D70DA9A12884}">
  <dimension ref="A1:Q33"/>
  <sheetViews>
    <sheetView workbookViewId="0">
      <selection activeCell="C13" sqref="C13"/>
    </sheetView>
  </sheetViews>
  <sheetFormatPr defaultColWidth="11" defaultRowHeight="15.75"/>
  <cols>
    <col min="1" max="1" width="28.875" customWidth="1"/>
    <col min="2" max="2" width="22.625" customWidth="1"/>
    <col min="3" max="3" width="17.375" customWidth="1"/>
    <col min="4" max="4" width="11.5" bestFit="1" customWidth="1"/>
    <col min="5" max="5" width="28.125" customWidth="1"/>
    <col min="6" max="6" width="22.5" customWidth="1"/>
    <col min="7" max="7" width="22.125" customWidth="1"/>
  </cols>
  <sheetData>
    <row r="1" spans="1:17" ht="26.25">
      <c r="A1" s="1" t="s">
        <v>6</v>
      </c>
      <c r="B1" s="2">
        <v>45839</v>
      </c>
      <c r="C1" s="1"/>
      <c r="D1" s="1"/>
      <c r="E1" s="1"/>
      <c r="F1" s="1"/>
      <c r="G1" s="1"/>
      <c r="H1" s="1"/>
      <c r="I1" s="1"/>
      <c r="J1" s="1"/>
      <c r="K1" s="1"/>
      <c r="L1" s="1"/>
      <c r="M1" s="1"/>
      <c r="N1" s="1"/>
      <c r="O1" s="1"/>
      <c r="P1" s="1"/>
      <c r="Q1" s="1"/>
    </row>
    <row r="2" spans="1:17" ht="26.25">
      <c r="A2" s="1" t="s">
        <v>7</v>
      </c>
      <c r="B2" s="3">
        <v>10000</v>
      </c>
      <c r="C2" s="1"/>
      <c r="D2" s="1"/>
      <c r="E2" s="1"/>
      <c r="F2" s="1"/>
      <c r="G2" s="1"/>
      <c r="H2" s="1"/>
      <c r="I2" s="1"/>
      <c r="J2" s="1"/>
      <c r="K2" s="1"/>
      <c r="L2" s="1"/>
      <c r="M2" s="1"/>
      <c r="N2" s="1"/>
      <c r="O2" s="1"/>
      <c r="P2" s="1"/>
    </row>
    <row r="3" spans="1:17" ht="26.25">
      <c r="A3" s="1"/>
      <c r="B3" s="1"/>
      <c r="C3" s="1"/>
      <c r="D3" s="1"/>
      <c r="E3" s="1"/>
      <c r="F3" s="1"/>
      <c r="G3" s="1"/>
      <c r="H3" s="1"/>
      <c r="I3" s="1"/>
      <c r="J3" s="1"/>
      <c r="K3" s="1"/>
      <c r="L3" s="1"/>
      <c r="M3" s="1"/>
      <c r="N3" s="1"/>
      <c r="O3" s="1"/>
      <c r="P3" s="1"/>
    </row>
    <row r="4" spans="1:17" ht="26.25">
      <c r="A4" s="5" t="s">
        <v>0</v>
      </c>
      <c r="B4" s="5" t="s">
        <v>9</v>
      </c>
      <c r="C4" s="5" t="s">
        <v>11</v>
      </c>
      <c r="D4" s="5" t="s">
        <v>10</v>
      </c>
      <c r="E4" s="5" t="s">
        <v>16</v>
      </c>
      <c r="F4" s="5" t="s">
        <v>1</v>
      </c>
      <c r="G4" s="5" t="s">
        <v>17</v>
      </c>
      <c r="H4" s="1"/>
      <c r="I4" s="1"/>
      <c r="J4" s="1"/>
      <c r="K4" s="1"/>
      <c r="L4" s="1"/>
      <c r="M4" s="1"/>
      <c r="N4" s="1"/>
      <c r="O4" s="1"/>
      <c r="P4" s="1"/>
    </row>
    <row r="5" spans="1:17" ht="26.25">
      <c r="A5" s="6" t="s">
        <v>2</v>
      </c>
      <c r="B5" s="6">
        <v>329.7</v>
      </c>
      <c r="C5" s="9">
        <v>2500</v>
      </c>
      <c r="D5" s="6">
        <f>ROUNDDOWN(C5/(B5/100),0)</f>
        <v>758</v>
      </c>
      <c r="E5" s="6">
        <v>479.9</v>
      </c>
      <c r="F5" s="9">
        <f>(E5/100)*D5</f>
        <v>3637.6419999999998</v>
      </c>
      <c r="G5" s="7">
        <f>(F5-C5)/C5</f>
        <v>0.45505679999999993</v>
      </c>
      <c r="H5" s="1"/>
      <c r="I5" s="1"/>
      <c r="J5" s="1"/>
      <c r="K5" s="1"/>
      <c r="L5" s="1"/>
      <c r="M5" s="1"/>
      <c r="N5" s="1"/>
      <c r="O5" s="1"/>
      <c r="P5" s="1"/>
    </row>
    <row r="6" spans="1:17" ht="26.25">
      <c r="A6" s="6" t="s">
        <v>3</v>
      </c>
      <c r="B6" s="6">
        <v>870.6</v>
      </c>
      <c r="C6" s="9">
        <v>2500</v>
      </c>
      <c r="D6" s="6">
        <f>ROUNDDOWN(C6/(B6/100),0)</f>
        <v>287</v>
      </c>
      <c r="E6" s="8">
        <v>1384.6</v>
      </c>
      <c r="F6" s="9">
        <f>(E6/100)*D6</f>
        <v>3973.8019999999997</v>
      </c>
      <c r="G6" s="7">
        <f>(F6-C6)/C6</f>
        <v>0.58952079999999984</v>
      </c>
      <c r="H6" s="1"/>
      <c r="I6" s="1"/>
      <c r="J6" s="1"/>
      <c r="K6" s="1"/>
      <c r="L6" s="1"/>
      <c r="M6" s="1"/>
      <c r="N6" s="1"/>
      <c r="O6" s="1"/>
      <c r="P6" s="1"/>
    </row>
    <row r="7" spans="1:17" ht="26.25">
      <c r="A7" s="6" t="s">
        <v>4</v>
      </c>
      <c r="B7" s="6">
        <v>76.36</v>
      </c>
      <c r="C7" s="9">
        <v>2500</v>
      </c>
      <c r="D7" s="6">
        <f t="shared" ref="D7:D8" si="0">ROUNDDOWN(C7/(B7/100),0)</f>
        <v>3273</v>
      </c>
      <c r="E7" s="6">
        <v>102.65</v>
      </c>
      <c r="F7" s="9">
        <f>(E7/100)*D7</f>
        <v>3359.7345</v>
      </c>
      <c r="G7" s="7">
        <f>(F7-C7)/C7</f>
        <v>0.34389380000000003</v>
      </c>
      <c r="H7" s="1"/>
      <c r="I7" s="1"/>
      <c r="J7" s="1"/>
      <c r="K7" s="1"/>
      <c r="L7" s="1"/>
      <c r="M7" s="1"/>
      <c r="N7" s="1"/>
      <c r="O7" s="1"/>
      <c r="P7" s="1"/>
    </row>
    <row r="8" spans="1:17" ht="26.25">
      <c r="A8" s="6" t="s">
        <v>8</v>
      </c>
      <c r="B8" s="6">
        <v>501.4</v>
      </c>
      <c r="C8" s="9">
        <v>2500</v>
      </c>
      <c r="D8" s="6">
        <f t="shared" si="0"/>
        <v>498</v>
      </c>
      <c r="E8" s="6">
        <v>614.79999999999995</v>
      </c>
      <c r="F8" s="9">
        <f>(E8/100)*D8</f>
        <v>3061.7039999999997</v>
      </c>
      <c r="G8" s="7">
        <f>(F8-C8)/C8</f>
        <v>0.2246815999999999</v>
      </c>
      <c r="H8" s="1"/>
      <c r="I8" s="1"/>
      <c r="J8" s="1"/>
      <c r="K8" s="1"/>
      <c r="L8" s="1"/>
      <c r="M8" s="1"/>
      <c r="N8" s="1"/>
      <c r="O8" s="1"/>
      <c r="P8" s="1"/>
    </row>
    <row r="9" spans="1:17" ht="26.25">
      <c r="A9" s="1"/>
      <c r="B9" s="1"/>
      <c r="C9" s="1"/>
      <c r="D9" s="1"/>
      <c r="E9" s="1"/>
      <c r="F9" s="1"/>
      <c r="G9" s="1"/>
      <c r="H9" s="1"/>
      <c r="I9" s="1"/>
      <c r="J9" s="1"/>
      <c r="K9" s="1"/>
      <c r="L9" s="1"/>
      <c r="M9" s="1"/>
      <c r="N9" s="1"/>
      <c r="O9" s="1"/>
      <c r="P9" s="1"/>
    </row>
    <row r="10" spans="1:17" ht="26.25">
      <c r="A10" s="28" t="s">
        <v>73</v>
      </c>
      <c r="B10" s="2">
        <v>46188</v>
      </c>
      <c r="C10" s="1"/>
      <c r="D10" s="1"/>
      <c r="E10" s="1"/>
      <c r="F10" s="1"/>
      <c r="G10" s="1"/>
      <c r="H10" s="1"/>
      <c r="I10" s="1"/>
      <c r="J10" s="1"/>
      <c r="K10" s="1"/>
      <c r="L10" s="1"/>
      <c r="M10" s="1"/>
      <c r="N10" s="1"/>
      <c r="O10" s="1"/>
      <c r="P10" s="1"/>
    </row>
    <row r="11" spans="1:17" ht="26.25">
      <c r="A11" s="1" t="s">
        <v>12</v>
      </c>
      <c r="B11" s="10">
        <f>SUM(C5:C8)</f>
        <v>10000</v>
      </c>
      <c r="C11" s="1"/>
      <c r="D11" s="1"/>
      <c r="E11" s="1"/>
      <c r="F11" s="1"/>
      <c r="G11" s="1"/>
      <c r="H11" s="1"/>
      <c r="I11" s="1"/>
      <c r="J11" s="1"/>
      <c r="K11" s="1"/>
      <c r="L11" s="1"/>
      <c r="M11" s="1"/>
      <c r="N11" s="1"/>
      <c r="O11" s="1"/>
      <c r="P11" s="1"/>
    </row>
    <row r="12" spans="1:17" ht="26.25">
      <c r="A12" s="1" t="s">
        <v>13</v>
      </c>
      <c r="B12" s="10">
        <f>SUM(F5:F8)</f>
        <v>14032.8825</v>
      </c>
      <c r="C12" s="1"/>
      <c r="D12" s="1"/>
      <c r="E12" s="1"/>
      <c r="F12" s="1"/>
      <c r="G12" s="1"/>
      <c r="H12" s="1"/>
      <c r="I12" s="1"/>
      <c r="J12" s="1"/>
      <c r="K12" s="1"/>
      <c r="L12" s="1"/>
      <c r="M12" s="1"/>
      <c r="N12" s="1"/>
      <c r="O12" s="1"/>
      <c r="P12" s="1"/>
    </row>
    <row r="13" spans="1:17" ht="26.25">
      <c r="A13" s="1" t="s">
        <v>14</v>
      </c>
      <c r="B13" s="10">
        <f>B12-B11</f>
        <v>4032.8824999999997</v>
      </c>
      <c r="C13" s="1"/>
      <c r="D13" s="1"/>
      <c r="E13" s="1"/>
      <c r="F13" s="1"/>
      <c r="G13" s="1"/>
      <c r="H13" s="1"/>
      <c r="I13" s="1"/>
      <c r="J13" s="1"/>
      <c r="K13" s="1"/>
      <c r="L13" s="1"/>
      <c r="M13" s="1"/>
      <c r="N13" s="1"/>
      <c r="O13" s="1"/>
      <c r="P13" s="1"/>
    </row>
    <row r="14" spans="1:17" ht="26.25">
      <c r="A14" s="1" t="s">
        <v>15</v>
      </c>
      <c r="B14" s="4">
        <f>(B12-B11)/B11</f>
        <v>0.40328824999999996</v>
      </c>
      <c r="C14" s="1"/>
      <c r="D14" s="1"/>
      <c r="E14" s="1"/>
      <c r="F14" s="1"/>
      <c r="G14" s="1"/>
      <c r="H14" s="1"/>
      <c r="I14" s="1"/>
      <c r="J14" s="1"/>
      <c r="K14" s="1"/>
      <c r="L14" s="1"/>
      <c r="M14" s="1"/>
      <c r="N14" s="1"/>
      <c r="O14" s="1"/>
      <c r="P14" s="1"/>
    </row>
    <row r="15" spans="1:17" ht="26.25">
      <c r="A15" s="1"/>
      <c r="B15" s="1"/>
      <c r="C15" s="1"/>
      <c r="D15" s="1"/>
      <c r="E15" s="1"/>
      <c r="F15" s="1"/>
      <c r="G15" s="1"/>
      <c r="H15" s="1"/>
      <c r="I15" s="1"/>
      <c r="J15" s="1"/>
      <c r="K15" s="1"/>
      <c r="L15" s="1"/>
      <c r="M15" s="1"/>
      <c r="N15" s="1"/>
      <c r="O15" s="1"/>
      <c r="P15" s="1"/>
    </row>
    <row r="16" spans="1:17" ht="26.25">
      <c r="A16" s="1"/>
      <c r="B16" s="1"/>
      <c r="C16" s="1"/>
      <c r="D16" s="1"/>
      <c r="E16" s="1"/>
      <c r="F16" s="1"/>
      <c r="G16" s="1"/>
      <c r="H16" s="1"/>
      <c r="I16" s="1"/>
      <c r="J16" s="1"/>
      <c r="K16" s="1"/>
      <c r="L16" s="1"/>
      <c r="M16" s="1"/>
      <c r="N16" s="1"/>
      <c r="O16" s="1"/>
      <c r="P16" s="1"/>
    </row>
    <row r="17" spans="1:16" ht="26.25">
      <c r="A17" s="1"/>
      <c r="B17" s="1"/>
      <c r="C17" s="1"/>
      <c r="D17" s="1"/>
      <c r="E17" s="1"/>
      <c r="F17" s="1"/>
      <c r="G17" s="1"/>
      <c r="H17" s="1"/>
      <c r="I17" s="1"/>
      <c r="J17" s="1"/>
      <c r="K17" s="1"/>
      <c r="L17" s="1"/>
      <c r="M17" s="1"/>
      <c r="N17" s="1"/>
      <c r="O17" s="1"/>
      <c r="P17" s="1"/>
    </row>
    <row r="18" spans="1:16" ht="26.25">
      <c r="A18" s="1"/>
      <c r="B18" s="1"/>
      <c r="C18" s="1"/>
      <c r="D18" s="1"/>
      <c r="E18" s="1"/>
      <c r="F18" s="1"/>
      <c r="G18" s="1"/>
      <c r="H18" s="1"/>
      <c r="I18" s="1"/>
      <c r="J18" s="1"/>
      <c r="K18" s="1"/>
      <c r="L18" s="1"/>
      <c r="M18" s="1"/>
      <c r="N18" s="1"/>
      <c r="O18" s="1"/>
      <c r="P18" s="1"/>
    </row>
    <row r="19" spans="1:16" ht="26.25">
      <c r="A19" s="1"/>
      <c r="B19" s="1"/>
      <c r="C19" s="1"/>
      <c r="D19" s="1"/>
      <c r="E19" s="1"/>
      <c r="F19" s="1"/>
      <c r="G19" s="1"/>
      <c r="H19" s="1"/>
      <c r="I19" s="1"/>
      <c r="J19" s="1"/>
      <c r="K19" s="1"/>
      <c r="L19" s="1"/>
      <c r="M19" s="1"/>
      <c r="N19" s="1"/>
      <c r="O19" s="1"/>
      <c r="P19" s="1"/>
    </row>
    <row r="20" spans="1:16" ht="26.25">
      <c r="A20" s="1"/>
      <c r="B20" s="1"/>
      <c r="C20" s="1"/>
      <c r="D20" s="1"/>
      <c r="E20" s="1"/>
      <c r="F20" s="1"/>
      <c r="G20" s="1"/>
      <c r="H20" s="1"/>
      <c r="I20" s="1"/>
      <c r="J20" s="1"/>
      <c r="K20" s="1"/>
      <c r="L20" s="1"/>
      <c r="M20" s="1"/>
      <c r="N20" s="1"/>
      <c r="O20" s="1"/>
      <c r="P20" s="1"/>
    </row>
    <row r="21" spans="1:16" ht="26.25">
      <c r="A21" s="1"/>
      <c r="B21" s="1"/>
      <c r="C21" s="1"/>
      <c r="D21" s="1"/>
      <c r="E21" s="1"/>
      <c r="F21" s="1"/>
      <c r="G21" s="1"/>
      <c r="H21" s="1"/>
      <c r="I21" s="1"/>
      <c r="J21" s="1"/>
      <c r="K21" s="1"/>
      <c r="L21" s="1"/>
      <c r="M21" s="1"/>
      <c r="N21" s="1"/>
      <c r="O21" s="1"/>
      <c r="P21" s="1"/>
    </row>
    <row r="22" spans="1:16" ht="26.25">
      <c r="A22" s="1"/>
      <c r="B22" s="1"/>
      <c r="C22" s="1"/>
      <c r="D22" s="1"/>
      <c r="E22" s="1"/>
      <c r="F22" s="1"/>
      <c r="G22" s="1"/>
      <c r="H22" s="1"/>
      <c r="I22" s="1"/>
      <c r="J22" s="1"/>
      <c r="K22" s="1"/>
      <c r="L22" s="1"/>
      <c r="M22" s="1"/>
      <c r="N22" s="1"/>
      <c r="O22" s="1"/>
      <c r="P22" s="1"/>
    </row>
    <row r="23" spans="1:16" ht="26.25">
      <c r="A23" s="1"/>
      <c r="B23" s="1"/>
      <c r="C23" s="1"/>
      <c r="D23" s="1"/>
      <c r="E23" s="1"/>
      <c r="F23" s="1"/>
      <c r="G23" s="1"/>
      <c r="H23" s="1"/>
      <c r="I23" s="1"/>
      <c r="J23" s="1"/>
      <c r="K23" s="1"/>
      <c r="L23" s="1"/>
      <c r="M23" s="1"/>
      <c r="N23" s="1"/>
      <c r="O23" s="1"/>
      <c r="P23" s="1"/>
    </row>
    <row r="24" spans="1:16" ht="26.25">
      <c r="A24" s="1"/>
      <c r="B24" s="1"/>
      <c r="C24" s="1"/>
      <c r="D24" s="1"/>
      <c r="E24" s="1"/>
      <c r="F24" s="1"/>
      <c r="G24" s="1"/>
      <c r="H24" s="1"/>
      <c r="I24" s="1"/>
      <c r="J24" s="1"/>
      <c r="K24" s="1"/>
      <c r="L24" s="1"/>
      <c r="M24" s="1"/>
      <c r="N24" s="1"/>
      <c r="O24" s="1"/>
      <c r="P24" s="1"/>
    </row>
    <row r="25" spans="1:16" ht="26.25">
      <c r="A25" s="1"/>
      <c r="B25" s="1"/>
      <c r="C25" s="1"/>
      <c r="D25" s="1"/>
      <c r="E25" s="1"/>
      <c r="F25" s="1"/>
      <c r="G25" s="1"/>
      <c r="H25" s="1"/>
      <c r="I25" s="1"/>
      <c r="J25" s="1"/>
      <c r="K25" s="1"/>
      <c r="L25" s="1"/>
      <c r="M25" s="1"/>
      <c r="N25" s="1"/>
      <c r="O25" s="1"/>
      <c r="P25" s="1"/>
    </row>
    <row r="26" spans="1:16" ht="26.25">
      <c r="A26" s="1"/>
      <c r="B26" s="1"/>
      <c r="C26" s="1"/>
      <c r="D26" s="1"/>
      <c r="E26" s="1"/>
      <c r="F26" s="1"/>
      <c r="G26" s="1"/>
      <c r="H26" s="1"/>
      <c r="I26" s="1"/>
      <c r="J26" s="1"/>
      <c r="K26" s="1"/>
      <c r="L26" s="1"/>
      <c r="M26" s="1"/>
      <c r="N26" s="1"/>
      <c r="O26" s="1"/>
      <c r="P26" s="1"/>
    </row>
    <row r="27" spans="1:16" ht="26.25">
      <c r="A27" s="1"/>
      <c r="B27" s="1"/>
      <c r="C27" s="1"/>
      <c r="D27" s="1"/>
      <c r="E27" s="1"/>
      <c r="F27" s="1"/>
      <c r="G27" s="1"/>
      <c r="H27" s="1"/>
      <c r="I27" s="1"/>
      <c r="J27" s="1"/>
      <c r="K27" s="1"/>
      <c r="L27" s="1"/>
      <c r="M27" s="1"/>
      <c r="N27" s="1"/>
      <c r="O27" s="1"/>
      <c r="P27" s="1"/>
    </row>
    <row r="28" spans="1:16" ht="26.25">
      <c r="A28" s="1"/>
      <c r="B28" s="1"/>
      <c r="C28" s="1"/>
      <c r="D28" s="1"/>
      <c r="E28" s="1"/>
      <c r="F28" s="1"/>
      <c r="G28" s="1"/>
      <c r="H28" s="1"/>
      <c r="I28" s="1"/>
      <c r="J28" s="1"/>
      <c r="K28" s="1"/>
      <c r="L28" s="1"/>
      <c r="M28" s="1"/>
      <c r="N28" s="1"/>
      <c r="O28" s="1"/>
      <c r="P28" s="1"/>
    </row>
    <row r="29" spans="1:16" ht="26.25">
      <c r="A29" s="1"/>
      <c r="B29" s="1"/>
      <c r="C29" s="1"/>
      <c r="D29" s="1"/>
      <c r="E29" s="1"/>
      <c r="F29" s="1"/>
      <c r="G29" s="1"/>
      <c r="H29" s="1"/>
      <c r="I29" s="1"/>
      <c r="J29" s="1"/>
      <c r="K29" s="1"/>
      <c r="L29" s="1"/>
      <c r="M29" s="1"/>
      <c r="N29" s="1"/>
      <c r="O29" s="1"/>
      <c r="P29" s="1"/>
    </row>
    <row r="30" spans="1:16" ht="26.25">
      <c r="A30" s="1"/>
      <c r="B30" s="1"/>
      <c r="C30" s="1"/>
      <c r="D30" s="1"/>
      <c r="E30" s="1"/>
      <c r="F30" s="1"/>
      <c r="G30" s="1"/>
      <c r="H30" s="1"/>
      <c r="I30" s="1"/>
      <c r="J30" s="1"/>
      <c r="K30" s="1"/>
      <c r="L30" s="1"/>
      <c r="M30" s="1"/>
      <c r="N30" s="1"/>
      <c r="O30" s="1"/>
      <c r="P30" s="1"/>
    </row>
    <row r="31" spans="1:16" ht="26.25">
      <c r="A31" s="1"/>
      <c r="B31" s="1"/>
      <c r="C31" s="1"/>
      <c r="D31" s="1"/>
      <c r="E31" s="1"/>
      <c r="F31" s="1"/>
      <c r="G31" s="1"/>
      <c r="H31" s="1"/>
      <c r="I31" s="1"/>
      <c r="J31" s="1"/>
      <c r="K31" s="1"/>
      <c r="L31" s="1"/>
      <c r="M31" s="1"/>
      <c r="N31" s="1"/>
      <c r="O31" s="1"/>
      <c r="P31" s="1"/>
    </row>
    <row r="32" spans="1:16" ht="26.25">
      <c r="A32" s="1"/>
      <c r="B32" s="1"/>
      <c r="C32" s="1"/>
      <c r="D32" s="1"/>
      <c r="E32" s="1"/>
      <c r="F32" s="1"/>
      <c r="G32" s="1"/>
      <c r="H32" s="1"/>
      <c r="I32" s="1"/>
      <c r="J32" s="1"/>
      <c r="K32" s="1"/>
      <c r="L32" s="1"/>
      <c r="M32" s="1"/>
      <c r="N32" s="1"/>
      <c r="O32" s="1"/>
      <c r="P32" s="1"/>
    </row>
    <row r="33" spans="1:16" ht="26.25">
      <c r="A33" s="1"/>
      <c r="B33" s="1"/>
      <c r="C33" s="1"/>
      <c r="D33" s="1"/>
      <c r="E33" s="1"/>
      <c r="F33" s="1"/>
      <c r="G33" s="1"/>
      <c r="H33" s="1"/>
      <c r="I33" s="1"/>
      <c r="J33" s="1"/>
      <c r="K33" s="1"/>
      <c r="L33" s="1"/>
      <c r="M33" s="1"/>
      <c r="N33" s="1"/>
      <c r="O33" s="1"/>
      <c r="P33" s="1"/>
    </row>
  </sheetData>
  <conditionalFormatting sqref="G4:G8">
    <cfRule type="colorScale" priority="1">
      <colorScale>
        <cfvo type="min"/>
        <cfvo type="max"/>
        <color rgb="FFFFEF9C"/>
        <color rgb="FF63BE7B"/>
      </colorScale>
    </cfRule>
    <cfRule type="colorScale" priority="3">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09C88-6149-D848-9618-21166597A084}">
  <dimension ref="A1:R53"/>
  <sheetViews>
    <sheetView zoomScale="50" zoomScaleNormal="69" workbookViewId="0">
      <pane ySplit="1" topLeftCell="A53" activePane="bottomLeft" state="frozen"/>
      <selection pane="bottomLeft" activeCell="C4" sqref="C4"/>
    </sheetView>
  </sheetViews>
  <sheetFormatPr defaultColWidth="11" defaultRowHeight="15.75"/>
  <cols>
    <col min="1" max="1" width="20.125" customWidth="1"/>
    <col min="2" max="2" width="15" customWidth="1"/>
    <col min="3" max="3" width="17.375" customWidth="1"/>
    <col min="4" max="4" width="14" customWidth="1"/>
    <col min="5" max="5" width="14.625" customWidth="1"/>
    <col min="6" max="6" width="22.125" customWidth="1"/>
    <col min="7" max="7" width="23.125" customWidth="1"/>
    <col min="8" max="8" width="84" customWidth="1"/>
    <col min="9" max="9" width="192.875" customWidth="1"/>
    <col min="12" max="12" width="17.625" customWidth="1"/>
  </cols>
  <sheetData>
    <row r="1" spans="1:18" ht="26.25">
      <c r="A1" s="14" t="s">
        <v>70</v>
      </c>
      <c r="B1" s="15" t="s">
        <v>2</v>
      </c>
      <c r="C1" s="15" t="s">
        <v>3</v>
      </c>
      <c r="D1" s="15" t="s">
        <v>4</v>
      </c>
      <c r="E1" s="15" t="s">
        <v>5</v>
      </c>
      <c r="F1" s="15" t="s">
        <v>18</v>
      </c>
      <c r="G1" s="15" t="s">
        <v>23</v>
      </c>
      <c r="H1" s="15" t="s">
        <v>19</v>
      </c>
      <c r="I1" s="16" t="s">
        <v>20</v>
      </c>
      <c r="J1" s="1"/>
      <c r="K1" s="1"/>
      <c r="L1" s="1"/>
      <c r="M1" s="1"/>
      <c r="N1" s="1"/>
      <c r="O1" s="1"/>
      <c r="P1" s="1"/>
      <c r="Q1" s="1"/>
      <c r="R1" s="1"/>
    </row>
    <row r="2" spans="1:18" ht="26.25">
      <c r="A2" s="17">
        <v>45839</v>
      </c>
      <c r="B2" s="11">
        <v>329.7</v>
      </c>
      <c r="C2" s="11">
        <v>870.6</v>
      </c>
      <c r="D2" s="11">
        <v>76.36</v>
      </c>
      <c r="E2" s="11">
        <v>501.4</v>
      </c>
      <c r="F2" s="9">
        <f>(B2/100*758)+(C2/100*287)+(D2/100*3273)+(E2/100*498)</f>
        <v>9993.9827999999998</v>
      </c>
      <c r="G2" s="13">
        <f>(F2-F2)/F2</f>
        <v>0</v>
      </c>
      <c r="H2" s="12" t="s">
        <v>21</v>
      </c>
      <c r="I2" s="18" t="s">
        <v>22</v>
      </c>
      <c r="J2" s="1"/>
      <c r="K2" s="1"/>
      <c r="L2" s="1"/>
      <c r="M2" s="1"/>
      <c r="N2" s="1"/>
      <c r="O2" s="1"/>
      <c r="P2" s="1"/>
      <c r="Q2" s="1"/>
      <c r="R2" s="1"/>
    </row>
    <row r="3" spans="1:18" ht="26.25">
      <c r="A3" s="17" cm="1" vm="1">
        <f t="array" aca="1" ref="A3:B52" ca="1">_xlfn.STOCKHISTORY("BARC",DATE(2025,7,7),DATE(2026,6,16),1,0)</f>
        <v>45845</v>
      </c>
      <c r="B3" s="6" vm="2">
        <f ca="1"/>
        <v>340</v>
      </c>
      <c r="C3" s="6">
        <v>910.5</v>
      </c>
      <c r="D3" s="6" vm="3">
        <v>75.680000000000007</v>
      </c>
      <c r="E3" s="6" vm="4">
        <v>491.5</v>
      </c>
      <c r="F3" s="9">
        <f ca="1">(B3/100*758)+(C3/100*287)+(D3/100*3273)+(E3/100*498)</f>
        <v>10115.011399999999</v>
      </c>
      <c r="G3" s="7">
        <f ca="1">(F3-F2)/F2</f>
        <v>1.2110146917603225E-2</v>
      </c>
      <c r="H3" s="6" t="s">
        <v>44</v>
      </c>
      <c r="I3" s="19" t="s">
        <v>45</v>
      </c>
      <c r="J3" s="1"/>
      <c r="K3" s="1"/>
      <c r="L3" s="1"/>
      <c r="M3" s="1"/>
      <c r="N3" s="1"/>
      <c r="O3" s="1"/>
      <c r="P3" s="1"/>
      <c r="Q3" s="1"/>
      <c r="R3" s="1"/>
    </row>
    <row r="4" spans="1:18" ht="26.25">
      <c r="A4" s="17" vm="5">
        <f ca="1"/>
        <v>45852</v>
      </c>
      <c r="B4" s="6" vm="6">
        <f ca="1"/>
        <v>349.65</v>
      </c>
      <c r="C4" s="29">
        <v>933</v>
      </c>
      <c r="D4" s="6" vm="7">
        <v>77.8</v>
      </c>
      <c r="E4" s="6" vm="8">
        <v>496.2</v>
      </c>
      <c r="F4" s="9">
        <f t="shared" ref="F4:F52" ca="1" si="0">(B4/100*758)+(C4/100*287)+(D4/100*3273)+(E4/100*498)</f>
        <v>10345.527</v>
      </c>
      <c r="G4" s="7">
        <f ca="1">(F4-F3)/F3</f>
        <v>2.2789455284252139E-2</v>
      </c>
      <c r="H4" s="12" t="s">
        <v>69</v>
      </c>
      <c r="I4" s="18" t="s">
        <v>46</v>
      </c>
      <c r="J4" s="1"/>
      <c r="K4" s="1"/>
      <c r="L4" s="1"/>
      <c r="M4" s="1"/>
      <c r="N4" s="1"/>
      <c r="O4" s="1"/>
      <c r="P4" s="1"/>
      <c r="Q4" s="1"/>
      <c r="R4" s="1"/>
    </row>
    <row r="5" spans="1:18" ht="26.25">
      <c r="A5" s="17" vm="9">
        <f ca="1"/>
        <v>45859</v>
      </c>
      <c r="B5" s="6" vm="10">
        <f ca="1"/>
        <v>360.5</v>
      </c>
      <c r="C5" s="6" vm="11">
        <v>958.4</v>
      </c>
      <c r="D5" s="6" vm="12">
        <v>79.040000000000006</v>
      </c>
      <c r="E5" s="6" vm="13">
        <v>519.20000000000005</v>
      </c>
      <c r="F5" s="9">
        <f t="shared" ca="1" si="0"/>
        <v>10655.7932</v>
      </c>
      <c r="G5" s="7">
        <f t="shared" ref="G5:G52" ca="1" si="1">(F5-F4)/F4</f>
        <v>2.9990371684303761E-2</v>
      </c>
      <c r="H5" s="6" t="s">
        <v>44</v>
      </c>
      <c r="I5" s="19" t="s">
        <v>45</v>
      </c>
      <c r="J5" s="1"/>
      <c r="K5" s="1"/>
      <c r="L5" s="1"/>
      <c r="M5" s="1"/>
      <c r="N5" s="1"/>
      <c r="O5" s="1"/>
      <c r="P5" s="1"/>
      <c r="Q5" s="1"/>
      <c r="R5" s="1"/>
    </row>
    <row r="6" spans="1:18" ht="26.25">
      <c r="A6" s="17" vm="14">
        <f ca="1"/>
        <v>45866</v>
      </c>
      <c r="B6" s="6" vm="15">
        <f ca="1"/>
        <v>356.65</v>
      </c>
      <c r="C6" s="6" vm="16">
        <v>917.9</v>
      </c>
      <c r="D6" s="6" vm="17">
        <v>75.739999999999995</v>
      </c>
      <c r="E6" s="6" vm="18">
        <v>511.6</v>
      </c>
      <c r="F6" s="9">
        <f t="shared" ca="1" si="0"/>
        <v>10364.5182</v>
      </c>
      <c r="G6" s="7">
        <f t="shared" ca="1" si="1"/>
        <v>-2.7334896101399532E-2</v>
      </c>
      <c r="H6" s="6" t="s">
        <v>44</v>
      </c>
      <c r="I6" s="19" t="s">
        <v>45</v>
      </c>
      <c r="J6" s="1"/>
      <c r="K6" s="1"/>
      <c r="L6" s="1"/>
      <c r="M6" s="1"/>
      <c r="N6" s="1"/>
      <c r="O6" s="1"/>
      <c r="P6" s="1"/>
      <c r="Q6" s="1"/>
      <c r="R6" s="1"/>
    </row>
    <row r="7" spans="1:18" ht="26.25">
      <c r="A7" s="17" vm="19">
        <f ca="1"/>
        <v>45873</v>
      </c>
      <c r="B7" s="6" vm="20">
        <f ca="1"/>
        <v>367.95</v>
      </c>
      <c r="C7" s="6" vm="21">
        <v>939.3</v>
      </c>
      <c r="D7" s="6" vm="22">
        <v>80.94</v>
      </c>
      <c r="E7" s="6" vm="23">
        <v>522.79999999999995</v>
      </c>
      <c r="F7" s="9">
        <f t="shared" ca="1" si="0"/>
        <v>10737.5622</v>
      </c>
      <c r="G7" s="7">
        <f t="shared" ca="1" si="1"/>
        <v>3.5992411108892633E-2</v>
      </c>
      <c r="H7" s="12" t="s">
        <v>25</v>
      </c>
      <c r="I7" s="18" t="s">
        <v>47</v>
      </c>
      <c r="J7" s="1"/>
      <c r="K7" s="1"/>
      <c r="L7" s="1"/>
      <c r="M7" s="1"/>
      <c r="N7" s="1"/>
      <c r="O7" s="1"/>
      <c r="P7" s="1"/>
      <c r="Q7" s="1"/>
      <c r="R7" s="1"/>
    </row>
    <row r="8" spans="1:18" ht="26.25">
      <c r="A8" s="17" vm="24">
        <f ca="1"/>
        <v>45880</v>
      </c>
      <c r="B8" s="6" vm="25">
        <f ca="1"/>
        <v>371.15</v>
      </c>
      <c r="C8" s="6" vm="26">
        <v>938.9</v>
      </c>
      <c r="D8" s="6">
        <v>82.78</v>
      </c>
      <c r="E8" s="6" vm="27">
        <v>544</v>
      </c>
      <c r="F8" s="9">
        <f t="shared" ca="1" si="0"/>
        <v>10926.4694</v>
      </c>
      <c r="G8" s="7">
        <f t="shared" ca="1" si="1"/>
        <v>1.7593118110179575E-2</v>
      </c>
      <c r="H8" s="6" t="s">
        <v>44</v>
      </c>
      <c r="I8" s="19" t="s">
        <v>45</v>
      </c>
      <c r="J8" s="1"/>
      <c r="K8" s="1"/>
      <c r="L8" s="1"/>
      <c r="M8" s="1"/>
      <c r="N8" s="1"/>
      <c r="O8" s="1"/>
      <c r="P8" s="1"/>
      <c r="Q8" s="1"/>
      <c r="R8" s="1"/>
    </row>
    <row r="9" spans="1:18" ht="26.25">
      <c r="A9" s="17" vm="28">
        <f ca="1"/>
        <v>45887</v>
      </c>
      <c r="B9" s="6" vm="29">
        <f ca="1"/>
        <v>376.45</v>
      </c>
      <c r="C9" s="6" vm="30">
        <v>967.3</v>
      </c>
      <c r="D9" s="6" vm="31">
        <v>84.1</v>
      </c>
      <c r="E9" s="6" vm="32">
        <v>562.4</v>
      </c>
      <c r="F9" s="9">
        <f t="shared" ca="1" si="0"/>
        <v>11182.987000000001</v>
      </c>
      <c r="G9" s="7">
        <f t="shared" ca="1" si="1"/>
        <v>2.3476714262339951E-2</v>
      </c>
      <c r="H9" s="12" t="s">
        <v>26</v>
      </c>
      <c r="I9" s="18" t="s">
        <v>48</v>
      </c>
      <c r="J9" s="1"/>
      <c r="K9" s="1"/>
      <c r="L9" s="1"/>
      <c r="M9" s="1"/>
      <c r="N9" s="1"/>
      <c r="O9" s="1"/>
      <c r="P9" s="1"/>
      <c r="Q9" s="1"/>
      <c r="R9" s="1"/>
    </row>
    <row r="10" spans="1:18" ht="26.25">
      <c r="A10" s="17" vm="33">
        <f ca="1"/>
        <v>45894</v>
      </c>
      <c r="B10" s="6" vm="34">
        <f ca="1"/>
        <v>360.4</v>
      </c>
      <c r="C10" s="6" vm="35">
        <v>946.7</v>
      </c>
      <c r="D10" s="6" vm="36">
        <v>79.52</v>
      </c>
      <c r="E10" s="6" vm="37">
        <v>510.6</v>
      </c>
      <c r="F10" s="9">
        <f t="shared" ca="1" si="0"/>
        <v>10594.338599999999</v>
      </c>
      <c r="G10" s="7">
        <f t="shared" ca="1" si="1"/>
        <v>-5.2637850692306254E-2</v>
      </c>
      <c r="H10" s="6" t="s">
        <v>44</v>
      </c>
      <c r="I10" s="19" t="s">
        <v>45</v>
      </c>
      <c r="J10" s="1"/>
      <c r="K10" s="1"/>
      <c r="L10" s="1"/>
      <c r="M10" s="1"/>
      <c r="N10" s="1"/>
      <c r="O10" s="1"/>
      <c r="P10" s="1"/>
      <c r="Q10" s="1"/>
      <c r="R10" s="1"/>
    </row>
    <row r="11" spans="1:18" ht="26.25">
      <c r="A11" s="17" vm="38">
        <f ca="1"/>
        <v>45901</v>
      </c>
      <c r="B11" s="6" vm="39">
        <f ca="1"/>
        <v>361.05</v>
      </c>
      <c r="C11" s="6" vm="40">
        <v>963</v>
      </c>
      <c r="D11" s="6" vm="41">
        <v>79.36</v>
      </c>
      <c r="E11" s="6" vm="42">
        <v>506</v>
      </c>
      <c r="F11" s="9">
        <f t="shared" ca="1" si="0"/>
        <v>10617.9018</v>
      </c>
      <c r="G11" s="13">
        <f t="shared" ca="1" si="1"/>
        <v>2.2241312921601835E-3</v>
      </c>
      <c r="H11" s="6" t="s">
        <v>44</v>
      </c>
      <c r="I11" s="19" t="s">
        <v>45</v>
      </c>
      <c r="J11" s="1"/>
      <c r="K11" s="1"/>
      <c r="L11" s="1"/>
      <c r="M11" s="1"/>
      <c r="N11" s="1"/>
      <c r="O11" s="1"/>
      <c r="P11" s="1"/>
      <c r="Q11" s="1"/>
      <c r="R11" s="1"/>
    </row>
    <row r="12" spans="1:18" ht="26.25">
      <c r="A12" s="17" vm="43">
        <f ca="1"/>
        <v>45908</v>
      </c>
      <c r="B12" s="6" vm="44">
        <f ca="1"/>
        <v>380.1</v>
      </c>
      <c r="C12" s="6" vm="45">
        <v>1007</v>
      </c>
      <c r="D12" s="6" vm="46">
        <v>82.6</v>
      </c>
      <c r="E12" s="6" vm="47">
        <v>529.20000000000005</v>
      </c>
      <c r="F12" s="9">
        <f t="shared" ca="1" si="0"/>
        <v>11110.162</v>
      </c>
      <c r="G12" s="7">
        <f t="shared" ca="1" si="1"/>
        <v>4.6361344197023993E-2</v>
      </c>
      <c r="H12" s="12" t="s">
        <v>27</v>
      </c>
      <c r="I12" s="18" t="s">
        <v>49</v>
      </c>
      <c r="J12" s="1"/>
      <c r="K12" s="1"/>
      <c r="L12" s="1"/>
      <c r="M12" s="1"/>
      <c r="N12" s="1"/>
      <c r="O12" s="1"/>
      <c r="P12" s="1"/>
      <c r="Q12" s="1"/>
      <c r="R12" s="1"/>
    </row>
    <row r="13" spans="1:18" ht="26.25">
      <c r="A13" s="17" vm="48">
        <f ca="1"/>
        <v>45915</v>
      </c>
      <c r="B13" s="6" vm="49">
        <f ca="1"/>
        <v>381.65</v>
      </c>
      <c r="C13" s="6" vm="50">
        <v>1027.8</v>
      </c>
      <c r="D13" s="6" vm="51">
        <v>82.14</v>
      </c>
      <c r="E13" s="6" vm="52">
        <v>512.6</v>
      </c>
      <c r="F13" s="9">
        <f t="shared" ca="1" si="0"/>
        <v>11083.883199999998</v>
      </c>
      <c r="G13" s="7">
        <f t="shared" ca="1" si="1"/>
        <v>-2.3652940434173565E-3</v>
      </c>
      <c r="H13" s="6" t="s">
        <v>44</v>
      </c>
      <c r="I13" s="19" t="s">
        <v>45</v>
      </c>
      <c r="J13" s="1"/>
      <c r="K13" s="1"/>
      <c r="L13" s="1"/>
      <c r="M13" s="1"/>
      <c r="N13" s="1"/>
      <c r="O13" s="1"/>
      <c r="P13" s="1"/>
      <c r="Q13" s="1"/>
      <c r="R13" s="1"/>
    </row>
    <row r="14" spans="1:18" ht="26.25">
      <c r="A14" s="17" vm="53">
        <f ca="1"/>
        <v>45922</v>
      </c>
      <c r="B14" s="6" vm="54">
        <f ca="1"/>
        <v>382.6</v>
      </c>
      <c r="C14" s="6" vm="55">
        <v>1038.8</v>
      </c>
      <c r="D14" s="6" vm="56">
        <v>83</v>
      </c>
      <c r="E14" s="6" vm="57">
        <v>520.4</v>
      </c>
      <c r="F14" s="9">
        <f t="shared" ca="1" si="0"/>
        <v>11189.646000000001</v>
      </c>
      <c r="G14" s="7">
        <f t="shared" ca="1" si="1"/>
        <v>9.542034870955899E-3</v>
      </c>
      <c r="H14" s="12" t="s">
        <v>28</v>
      </c>
      <c r="I14" s="18" t="s">
        <v>50</v>
      </c>
      <c r="J14" s="1"/>
      <c r="K14" s="1"/>
      <c r="L14" s="1"/>
      <c r="M14" s="1"/>
      <c r="N14" s="1"/>
      <c r="O14" s="1"/>
      <c r="P14" s="1"/>
      <c r="Q14" s="1"/>
      <c r="R14" s="1"/>
    </row>
    <row r="15" spans="1:18" ht="26.25">
      <c r="A15" s="17" vm="58">
        <f ca="1"/>
        <v>45929</v>
      </c>
      <c r="B15" s="6" vm="59">
        <f ca="1"/>
        <v>385.35</v>
      </c>
      <c r="C15" s="6" vm="60">
        <v>1061.8</v>
      </c>
      <c r="D15" s="6" vm="61">
        <v>84.36</v>
      </c>
      <c r="E15" s="6" vm="62">
        <v>548</v>
      </c>
      <c r="F15" s="9">
        <f t="shared" ca="1" si="0"/>
        <v>11458.461800000001</v>
      </c>
      <c r="G15" s="7">
        <f t="shared" ca="1" si="1"/>
        <v>2.402361969270523E-2</v>
      </c>
      <c r="H15" s="6" t="s">
        <v>44</v>
      </c>
      <c r="I15" s="19" t="s">
        <v>45</v>
      </c>
      <c r="J15" s="1"/>
      <c r="K15" s="1"/>
      <c r="L15" s="1"/>
      <c r="M15" s="1"/>
      <c r="N15" s="1"/>
      <c r="O15" s="1"/>
      <c r="P15" s="1"/>
      <c r="Q15" s="1"/>
      <c r="R15" s="1"/>
    </row>
    <row r="16" spans="1:18" ht="26.25">
      <c r="A16" s="17" vm="63">
        <f ca="1"/>
        <v>45936</v>
      </c>
      <c r="B16" s="6" vm="64">
        <f ca="1"/>
        <v>372.5</v>
      </c>
      <c r="C16" s="6" vm="65">
        <v>993.9</v>
      </c>
      <c r="D16" s="6" vm="66">
        <v>82.9</v>
      </c>
      <c r="E16" s="6" vm="67">
        <v>541.6</v>
      </c>
      <c r="F16" s="9">
        <f t="shared" ca="1" si="0"/>
        <v>11086.528</v>
      </c>
      <c r="G16" s="7">
        <f t="shared" ca="1" si="1"/>
        <v>-3.2459313168893285E-2</v>
      </c>
      <c r="H16" s="12" t="s">
        <v>29</v>
      </c>
      <c r="I16" s="18" t="s">
        <v>51</v>
      </c>
      <c r="J16" s="1"/>
      <c r="K16" s="1"/>
      <c r="L16" s="1"/>
      <c r="M16" s="1"/>
      <c r="N16" s="1"/>
      <c r="O16" s="1"/>
      <c r="P16" s="1"/>
      <c r="Q16" s="1"/>
      <c r="R16" s="1"/>
    </row>
    <row r="17" spans="1:18" ht="26.25">
      <c r="A17" s="17" vm="68">
        <f ca="1"/>
        <v>45943</v>
      </c>
      <c r="B17" s="6" vm="69">
        <f ca="1"/>
        <v>357.8</v>
      </c>
      <c r="C17" s="6" vm="70">
        <v>964.3</v>
      </c>
      <c r="D17" s="6" vm="71">
        <v>82.44</v>
      </c>
      <c r="E17" s="6" vm="72">
        <v>532.4</v>
      </c>
      <c r="F17" s="9">
        <f t="shared" ca="1" si="0"/>
        <v>10829.278200000001</v>
      </c>
      <c r="G17" s="7">
        <f t="shared" ca="1" si="1"/>
        <v>-2.3203819987646229E-2</v>
      </c>
      <c r="H17" s="6" t="s">
        <v>44</v>
      </c>
      <c r="I17" s="19" t="s">
        <v>45</v>
      </c>
      <c r="J17" s="1"/>
      <c r="K17" s="1"/>
      <c r="L17" s="1"/>
      <c r="M17" s="1"/>
      <c r="N17" s="1"/>
      <c r="O17" s="1"/>
      <c r="P17" s="1"/>
      <c r="Q17" s="1"/>
      <c r="R17" s="1"/>
    </row>
    <row r="18" spans="1:18" ht="26.25">
      <c r="A18" s="17" vm="73">
        <f ca="1"/>
        <v>45950</v>
      </c>
      <c r="B18" s="6" vm="74">
        <f ca="1"/>
        <v>388.3</v>
      </c>
      <c r="C18" s="6" vm="75">
        <v>1004</v>
      </c>
      <c r="D18" s="6" vm="76">
        <v>85.86</v>
      </c>
      <c r="E18" s="6" vm="77">
        <v>572.4</v>
      </c>
      <c r="F18" s="9">
        <f t="shared" ca="1" si="0"/>
        <v>11485.543799999999</v>
      </c>
      <c r="G18" s="7">
        <f t="shared" ca="1" si="1"/>
        <v>6.0601047260933676E-2</v>
      </c>
      <c r="H18" s="6" t="s">
        <v>44</v>
      </c>
      <c r="I18" s="19" t="s">
        <v>45</v>
      </c>
      <c r="J18" s="1"/>
      <c r="K18" s="1"/>
      <c r="L18" s="1"/>
      <c r="M18" s="1"/>
      <c r="N18" s="1"/>
      <c r="O18" s="1"/>
      <c r="P18" s="1"/>
      <c r="Q18" s="1"/>
      <c r="R18" s="1"/>
    </row>
    <row r="19" spans="1:18" ht="26.25">
      <c r="A19" s="17" vm="78">
        <f ca="1"/>
        <v>45957</v>
      </c>
      <c r="B19" s="6" vm="79">
        <f ca="1"/>
        <v>407</v>
      </c>
      <c r="C19" s="6" vm="80">
        <v>1063.4000000000001</v>
      </c>
      <c r="D19" s="6" vm="81">
        <v>89.08</v>
      </c>
      <c r="E19" s="6" vm="82">
        <v>584</v>
      </c>
      <c r="F19" s="9">
        <f t="shared" ca="1" si="0"/>
        <v>11960.9264</v>
      </c>
      <c r="G19" s="7">
        <f t="shared" ca="1" si="1"/>
        <v>4.1389646696571809E-2</v>
      </c>
      <c r="H19" s="6" t="s">
        <v>44</v>
      </c>
      <c r="I19" s="19" t="s">
        <v>45</v>
      </c>
      <c r="J19" s="1"/>
      <c r="K19" s="1"/>
      <c r="L19" s="1"/>
      <c r="M19" s="1"/>
      <c r="N19" s="1"/>
      <c r="O19" s="1"/>
      <c r="P19" s="1"/>
      <c r="Q19" s="1"/>
      <c r="R19" s="1"/>
    </row>
    <row r="20" spans="1:18" ht="26.25">
      <c r="A20" s="17" vm="83">
        <f ca="1"/>
        <v>45964</v>
      </c>
      <c r="B20" s="6" vm="84">
        <f ca="1"/>
        <v>404.7</v>
      </c>
      <c r="C20" s="6" vm="85">
        <v>1070.8</v>
      </c>
      <c r="D20" s="6" vm="86">
        <v>90.6</v>
      </c>
      <c r="E20" s="6" vm="87">
        <v>598.79999999999995</v>
      </c>
      <c r="F20" s="9">
        <f t="shared" ca="1" si="0"/>
        <v>12088.183999999999</v>
      </c>
      <c r="G20" s="7">
        <f t="shared" ca="1" si="1"/>
        <v>1.063944344645403E-2</v>
      </c>
      <c r="H20" s="12" t="s">
        <v>30</v>
      </c>
      <c r="I20" s="18" t="s">
        <v>52</v>
      </c>
      <c r="J20" s="1"/>
      <c r="K20" s="1"/>
      <c r="L20" s="1"/>
      <c r="M20" s="1"/>
      <c r="N20" s="1"/>
      <c r="O20" s="1"/>
      <c r="P20" s="1"/>
      <c r="Q20" s="1"/>
      <c r="R20" s="1"/>
    </row>
    <row r="21" spans="1:18" ht="26.25">
      <c r="A21" s="17" vm="88">
        <f ca="1"/>
        <v>45971</v>
      </c>
      <c r="B21" s="6" vm="89">
        <f ca="1"/>
        <v>413.5</v>
      </c>
      <c r="C21" s="6" vm="90">
        <v>1104.4000000000001</v>
      </c>
      <c r="D21" s="6" vm="91">
        <v>91.5</v>
      </c>
      <c r="E21" s="6" vm="92">
        <v>600.79999999999995</v>
      </c>
      <c r="F21" s="9">
        <f t="shared" ca="1" si="0"/>
        <v>12290.737000000001</v>
      </c>
      <c r="G21" s="7">
        <f t="shared" ca="1" si="1"/>
        <v>1.6756280347817482E-2</v>
      </c>
      <c r="H21" s="6" t="s">
        <v>44</v>
      </c>
      <c r="I21" s="19" t="s">
        <v>45</v>
      </c>
      <c r="J21" s="1"/>
      <c r="K21" s="1"/>
      <c r="L21" s="1"/>
      <c r="M21" s="1"/>
      <c r="N21" s="1"/>
      <c r="O21" s="1"/>
      <c r="P21" s="1"/>
      <c r="Q21" s="1"/>
      <c r="R21" s="1"/>
    </row>
    <row r="22" spans="1:18" ht="26.25">
      <c r="A22" s="17" vm="93">
        <f ca="1"/>
        <v>45978</v>
      </c>
      <c r="B22" s="6" vm="94">
        <f ca="1"/>
        <v>392.2</v>
      </c>
      <c r="C22" s="6" vm="95">
        <v>1041.4000000000001</v>
      </c>
      <c r="D22" s="6" vm="96">
        <v>87.12</v>
      </c>
      <c r="E22" s="6" vm="97">
        <v>579.20000000000005</v>
      </c>
      <c r="F22" s="9">
        <f t="shared" ca="1" si="0"/>
        <v>11697.547600000002</v>
      </c>
      <c r="G22" s="7">
        <f t="shared" ca="1" si="1"/>
        <v>-4.8263126938604191E-2</v>
      </c>
      <c r="H22" s="12" t="s">
        <v>26</v>
      </c>
      <c r="I22" s="18" t="s">
        <v>53</v>
      </c>
      <c r="J22" s="1"/>
      <c r="K22" s="1"/>
      <c r="L22" s="1"/>
      <c r="M22" s="1"/>
      <c r="N22" s="1"/>
      <c r="O22" s="1"/>
      <c r="P22" s="1"/>
      <c r="Q22" s="1"/>
      <c r="R22" s="1"/>
    </row>
    <row r="23" spans="1:18" ht="26.25">
      <c r="A23" s="17" vm="98">
        <f ca="1"/>
        <v>45985</v>
      </c>
      <c r="B23" s="6" vm="99">
        <f ca="1"/>
        <v>430.25</v>
      </c>
      <c r="C23" s="6" vm="100">
        <v>1070.2</v>
      </c>
      <c r="D23" s="6" vm="101">
        <v>96.14</v>
      </c>
      <c r="E23" s="6" vm="102">
        <v>632.20000000000005</v>
      </c>
      <c r="F23" s="9">
        <f t="shared" ca="1" si="0"/>
        <v>12627.787200000001</v>
      </c>
      <c r="G23" s="7">
        <f t="shared" ca="1" si="1"/>
        <v>7.9524326962345404E-2</v>
      </c>
      <c r="H23" s="6" t="s">
        <v>44</v>
      </c>
      <c r="I23" s="19" t="s">
        <v>45</v>
      </c>
      <c r="J23" s="1"/>
      <c r="K23" s="1"/>
      <c r="L23" s="1"/>
      <c r="M23" s="1"/>
      <c r="N23" s="1"/>
      <c r="O23" s="1"/>
      <c r="P23" s="1"/>
      <c r="Q23" s="1"/>
      <c r="R23" s="1"/>
    </row>
    <row r="24" spans="1:18" ht="26.25">
      <c r="A24" s="17" vm="103">
        <f ca="1"/>
        <v>45992</v>
      </c>
      <c r="B24" s="6" vm="104">
        <f ca="1"/>
        <v>434.4</v>
      </c>
      <c r="C24" s="6" vm="105">
        <v>1062</v>
      </c>
      <c r="D24" s="6" vm="106">
        <v>95.76</v>
      </c>
      <c r="E24" s="6" vm="107">
        <v>617.6</v>
      </c>
      <c r="F24" s="9">
        <f t="shared" ca="1" si="0"/>
        <v>12550.5648</v>
      </c>
      <c r="G24" s="7">
        <f t="shared" ca="1" si="1"/>
        <v>-6.1152756834547033E-3</v>
      </c>
      <c r="H24" s="12" t="s">
        <v>31</v>
      </c>
      <c r="I24" s="18" t="s">
        <v>54</v>
      </c>
      <c r="J24" s="1"/>
      <c r="K24" s="1"/>
      <c r="L24" s="1"/>
      <c r="M24" s="1"/>
      <c r="N24" s="1"/>
      <c r="O24" s="1"/>
      <c r="P24" s="1"/>
      <c r="Q24" s="1"/>
      <c r="R24" s="1"/>
    </row>
    <row r="25" spans="1:18" ht="26.25">
      <c r="A25" s="17" vm="108">
        <f ca="1"/>
        <v>45999</v>
      </c>
      <c r="B25" s="6" vm="109">
        <f ca="1"/>
        <v>444.35</v>
      </c>
      <c r="C25" s="6" vm="110">
        <v>1111.8</v>
      </c>
      <c r="D25" s="6" vm="111">
        <v>93.72</v>
      </c>
      <c r="E25" s="6" vm="112">
        <v>612</v>
      </c>
      <c r="F25" s="9">
        <f t="shared" ca="1" si="0"/>
        <v>12674.254600000002</v>
      </c>
      <c r="G25" s="7">
        <f t="shared" ca="1" si="1"/>
        <v>9.8553174276269952E-3</v>
      </c>
      <c r="H25" s="6" t="s">
        <v>44</v>
      </c>
      <c r="I25" s="19" t="s">
        <v>45</v>
      </c>
      <c r="J25" s="1"/>
      <c r="K25" s="1"/>
      <c r="L25" s="1"/>
      <c r="M25" s="1"/>
      <c r="N25" s="1"/>
      <c r="O25" s="1"/>
      <c r="P25" s="1"/>
      <c r="Q25" s="1"/>
      <c r="R25" s="1"/>
    </row>
    <row r="26" spans="1:18" ht="26.25">
      <c r="A26" s="17" vm="113">
        <f ca="1"/>
        <v>46006</v>
      </c>
      <c r="B26" s="6" vm="114">
        <f ca="1"/>
        <v>468.95</v>
      </c>
      <c r="C26" s="6" vm="115">
        <v>1167</v>
      </c>
      <c r="D26" s="6" vm="116">
        <v>97.42</v>
      </c>
      <c r="E26" s="6" vm="117">
        <v>644.79999999999995</v>
      </c>
      <c r="F26" s="9">
        <f t="shared" ca="1" si="0"/>
        <v>13303.5916</v>
      </c>
      <c r="G26" s="7">
        <f t="shared" ca="1" si="1"/>
        <v>4.9654754450016936E-2</v>
      </c>
      <c r="H26" s="12" t="s">
        <v>32</v>
      </c>
      <c r="I26" s="18" t="s">
        <v>55</v>
      </c>
      <c r="J26" s="1"/>
      <c r="K26" s="1"/>
      <c r="L26" s="1"/>
      <c r="M26" s="1"/>
      <c r="N26" s="1"/>
      <c r="O26" s="1"/>
      <c r="P26" s="1"/>
      <c r="Q26" s="1"/>
      <c r="R26" s="1"/>
    </row>
    <row r="27" spans="1:18" ht="26.25">
      <c r="A27" s="17" vm="118">
        <f ca="1"/>
        <v>46013</v>
      </c>
      <c r="B27" s="6" vm="119">
        <f ca="1"/>
        <v>469.75</v>
      </c>
      <c r="C27" s="6" vm="120">
        <v>1175.4000000000001</v>
      </c>
      <c r="D27" s="6" vm="121">
        <v>97</v>
      </c>
      <c r="E27" s="6" vm="122">
        <v>646.79999999999995</v>
      </c>
      <c r="F27" s="9">
        <f t="shared" ca="1" si="0"/>
        <v>13329.977000000001</v>
      </c>
      <c r="G27" s="7">
        <f t="shared" ca="1" si="1"/>
        <v>1.9833290733309215E-3</v>
      </c>
      <c r="H27" s="6" t="s">
        <v>44</v>
      </c>
      <c r="I27" s="19" t="s">
        <v>45</v>
      </c>
      <c r="J27" s="1"/>
      <c r="K27" s="1"/>
      <c r="L27" s="1"/>
      <c r="M27" s="1"/>
      <c r="N27" s="1"/>
      <c r="O27" s="1"/>
      <c r="P27" s="1"/>
      <c r="Q27" s="1"/>
      <c r="R27" s="1"/>
    </row>
    <row r="28" spans="1:18" ht="26.25">
      <c r="A28" s="17" vm="123">
        <f ca="1"/>
        <v>46020</v>
      </c>
      <c r="B28" s="6" vm="124">
        <f ca="1"/>
        <v>479.5</v>
      </c>
      <c r="C28" s="6" vm="125">
        <v>1191.8</v>
      </c>
      <c r="D28" s="6" vm="126">
        <v>99.24</v>
      </c>
      <c r="E28" s="6" vm="127">
        <v>657.6</v>
      </c>
      <c r="F28" s="9">
        <f t="shared" ca="1" si="0"/>
        <v>13578.049199999999</v>
      </c>
      <c r="G28" s="7">
        <f t="shared" ca="1" si="1"/>
        <v>1.861009962732859E-2</v>
      </c>
      <c r="H28" s="6" t="s">
        <v>44</v>
      </c>
      <c r="I28" s="19" t="s">
        <v>45</v>
      </c>
      <c r="J28" s="1"/>
      <c r="K28" s="1"/>
      <c r="L28" s="1"/>
      <c r="M28" s="1"/>
      <c r="N28" s="1"/>
      <c r="O28" s="1"/>
      <c r="P28" s="1"/>
      <c r="Q28" s="1"/>
      <c r="R28" s="1"/>
    </row>
    <row r="29" spans="1:18" ht="26.25">
      <c r="A29" s="17" vm="128">
        <f ca="1"/>
        <v>46027</v>
      </c>
      <c r="B29" s="6" vm="129">
        <f ca="1"/>
        <v>484.9</v>
      </c>
      <c r="C29" s="6" vm="130">
        <v>1194.2</v>
      </c>
      <c r="D29" s="6" vm="131">
        <v>100.3</v>
      </c>
      <c r="E29" s="6" vm="132">
        <v>642.6</v>
      </c>
      <c r="F29" s="9">
        <f t="shared" ca="1" si="0"/>
        <v>13585.863000000001</v>
      </c>
      <c r="G29" s="7">
        <f t="shared" ca="1" si="1"/>
        <v>5.7547294791078832E-4</v>
      </c>
      <c r="H29" s="6" t="s">
        <v>44</v>
      </c>
      <c r="I29" s="19" t="s">
        <v>45</v>
      </c>
      <c r="J29" s="1"/>
      <c r="K29" s="1"/>
      <c r="L29" s="1"/>
      <c r="M29" s="1"/>
      <c r="N29" s="1"/>
      <c r="O29" s="1"/>
      <c r="P29" s="1"/>
      <c r="Q29" s="1"/>
      <c r="R29" s="1"/>
    </row>
    <row r="30" spans="1:18" ht="26.25">
      <c r="A30" s="17" vm="133">
        <f ca="1"/>
        <v>46034</v>
      </c>
      <c r="B30" s="6" vm="134">
        <f ca="1"/>
        <v>488.95</v>
      </c>
      <c r="C30" s="6" vm="135">
        <v>1232</v>
      </c>
      <c r="D30" s="6" vm="136">
        <v>102.1</v>
      </c>
      <c r="E30" s="6" vm="137">
        <v>652.79999999999995</v>
      </c>
      <c r="F30" s="9">
        <f t="shared" ca="1" si="0"/>
        <v>13834.758</v>
      </c>
      <c r="G30" s="7">
        <f t="shared" ca="1" si="1"/>
        <v>1.832014646401179E-2</v>
      </c>
      <c r="H30" s="12" t="s">
        <v>33</v>
      </c>
      <c r="I30" s="18" t="s">
        <v>56</v>
      </c>
      <c r="J30" s="1"/>
      <c r="K30" s="1"/>
      <c r="L30" s="1"/>
      <c r="M30" s="1"/>
      <c r="N30" s="1"/>
      <c r="O30" s="1"/>
      <c r="P30" s="1"/>
      <c r="Q30" s="1"/>
      <c r="R30" s="1"/>
    </row>
    <row r="31" spans="1:18" ht="26.25">
      <c r="A31" s="17" vm="138">
        <f ca="1"/>
        <v>46041</v>
      </c>
      <c r="B31" s="6" vm="139">
        <f ca="1"/>
        <v>480.3</v>
      </c>
      <c r="C31" s="6" vm="140">
        <v>1231</v>
      </c>
      <c r="D31" s="6" vm="141">
        <v>101.65</v>
      </c>
      <c r="E31" s="6" vm="142">
        <v>646.6</v>
      </c>
      <c r="F31" s="9">
        <f t="shared" ca="1" si="0"/>
        <v>13720.716499999999</v>
      </c>
      <c r="G31" s="7">
        <f t="shared" ca="1" si="1"/>
        <v>-8.2431149139002777E-3</v>
      </c>
      <c r="H31" s="12" t="s">
        <v>34</v>
      </c>
      <c r="I31" s="18" t="s">
        <v>57</v>
      </c>
      <c r="J31" s="1"/>
      <c r="K31" s="1"/>
      <c r="L31" s="1"/>
      <c r="M31" s="1"/>
      <c r="N31" s="1"/>
      <c r="O31" s="1"/>
      <c r="P31" s="1"/>
      <c r="Q31" s="1"/>
      <c r="R31" s="1"/>
    </row>
    <row r="32" spans="1:18" ht="26.25">
      <c r="A32" s="17" vm="143">
        <f ca="1"/>
        <v>46048</v>
      </c>
      <c r="B32" s="6" vm="144">
        <f ca="1"/>
        <v>486.2</v>
      </c>
      <c r="C32" s="6" vm="145">
        <v>1285.4000000000001</v>
      </c>
      <c r="D32" s="6" vm="146">
        <v>108.95</v>
      </c>
      <c r="E32" s="6" vm="147">
        <v>665.2</v>
      </c>
      <c r="F32" s="9">
        <f t="shared" ca="1" si="0"/>
        <v>14253.123500000002</v>
      </c>
      <c r="G32" s="7">
        <f t="shared" ca="1" si="1"/>
        <v>3.8803148509044913E-2</v>
      </c>
      <c r="H32" s="6" t="s">
        <v>44</v>
      </c>
      <c r="I32" s="19" t="s">
        <v>45</v>
      </c>
      <c r="J32" s="1"/>
      <c r="K32" s="1"/>
      <c r="L32" s="1"/>
      <c r="M32" s="1"/>
      <c r="N32" s="1"/>
      <c r="O32" s="1"/>
      <c r="P32" s="1"/>
      <c r="Q32" s="1"/>
      <c r="R32" s="1"/>
    </row>
    <row r="33" spans="1:18" ht="26.25">
      <c r="A33" s="17" vm="148">
        <f ca="1"/>
        <v>46055</v>
      </c>
      <c r="B33" s="6" vm="149">
        <f ca="1"/>
        <v>479.1</v>
      </c>
      <c r="C33" s="6" vm="150">
        <v>1305.8</v>
      </c>
      <c r="D33" s="6" vm="151">
        <v>106.75</v>
      </c>
      <c r="E33" s="6" vm="152">
        <v>659.4</v>
      </c>
      <c r="F33" s="9">
        <f t="shared" ca="1" si="0"/>
        <v>14156.9635</v>
      </c>
      <c r="G33" s="7">
        <f t="shared" ca="1" si="1"/>
        <v>-6.7465913699549197E-3</v>
      </c>
      <c r="H33" s="12" t="s">
        <v>35</v>
      </c>
      <c r="I33" s="18" t="s">
        <v>58</v>
      </c>
      <c r="J33" s="1"/>
      <c r="K33" s="1"/>
      <c r="L33" s="1"/>
      <c r="M33" s="1"/>
      <c r="N33" s="1"/>
      <c r="O33" s="1"/>
      <c r="P33" s="1"/>
      <c r="Q33" s="1"/>
      <c r="R33" s="1"/>
    </row>
    <row r="34" spans="1:18" ht="26.25">
      <c r="A34" s="17" vm="153">
        <f ca="1"/>
        <v>46062</v>
      </c>
      <c r="B34" s="6" vm="154">
        <f ca="1"/>
        <v>454</v>
      </c>
      <c r="C34" s="6" vm="155">
        <v>1238.5999999999999</v>
      </c>
      <c r="D34" s="6" vm="156">
        <v>100.4</v>
      </c>
      <c r="E34" s="6" vm="157">
        <v>580.20000000000005</v>
      </c>
      <c r="F34" s="9">
        <f t="shared" ca="1" si="0"/>
        <v>13171.59</v>
      </c>
      <c r="G34" s="7">
        <f t="shared" ca="1" si="1"/>
        <v>-6.9603449920599123E-2</v>
      </c>
      <c r="H34" s="6" t="s">
        <v>44</v>
      </c>
      <c r="I34" s="19" t="s">
        <v>45</v>
      </c>
      <c r="J34" s="1"/>
      <c r="K34" s="1"/>
      <c r="L34" s="1"/>
      <c r="M34" s="1"/>
      <c r="N34" s="1"/>
      <c r="O34" s="1"/>
      <c r="P34" s="1"/>
      <c r="Q34" s="1"/>
      <c r="R34" s="1"/>
    </row>
    <row r="35" spans="1:18" ht="26.25">
      <c r="A35" s="17" vm="158">
        <f ca="1"/>
        <v>46069</v>
      </c>
      <c r="B35" s="6" vm="159">
        <f ca="1"/>
        <v>473.8</v>
      </c>
      <c r="C35" s="6" vm="160">
        <v>1290</v>
      </c>
      <c r="D35" s="6" vm="161">
        <v>104.15</v>
      </c>
      <c r="E35" s="6" vm="162">
        <v>615.6</v>
      </c>
      <c r="F35" s="9">
        <f t="shared" ca="1" si="0"/>
        <v>13768.221500000001</v>
      </c>
      <c r="G35" s="7">
        <f t="shared" ca="1" si="1"/>
        <v>4.5296847229529716E-2</v>
      </c>
      <c r="H35" s="12" t="s">
        <v>36</v>
      </c>
      <c r="I35" s="18" t="s">
        <v>59</v>
      </c>
      <c r="J35" s="1"/>
      <c r="K35" s="1"/>
      <c r="L35" s="1"/>
      <c r="M35" s="1"/>
      <c r="N35" s="1"/>
      <c r="O35" s="1"/>
      <c r="P35" s="1"/>
      <c r="Q35" s="1"/>
      <c r="R35" s="1"/>
    </row>
    <row r="36" spans="1:18" ht="26.25">
      <c r="A36" s="17" vm="163">
        <f ca="1"/>
        <v>46076</v>
      </c>
      <c r="B36" s="6" vm="164">
        <f ca="1"/>
        <v>452.85</v>
      </c>
      <c r="C36" s="6" vm="165">
        <v>1393.6</v>
      </c>
      <c r="D36" s="6" vm="166">
        <v>102.45</v>
      </c>
      <c r="E36" s="6" vm="167">
        <v>619</v>
      </c>
      <c r="F36" s="9">
        <f t="shared" ca="1" si="0"/>
        <v>13868.043500000002</v>
      </c>
      <c r="G36" s="7">
        <f t="shared" ca="1" si="1"/>
        <v>7.2501738877457853E-3</v>
      </c>
      <c r="H36" s="12" t="s">
        <v>37</v>
      </c>
      <c r="I36" s="18" t="s">
        <v>60</v>
      </c>
      <c r="J36" s="1"/>
      <c r="K36" s="1"/>
      <c r="L36" s="1"/>
      <c r="M36" s="1"/>
      <c r="N36" s="1"/>
      <c r="O36" s="1"/>
      <c r="P36" s="1"/>
      <c r="Q36" s="1"/>
      <c r="R36" s="1"/>
    </row>
    <row r="37" spans="1:18" ht="26.25">
      <c r="A37" s="17" vm="168">
        <f ca="1"/>
        <v>46083</v>
      </c>
      <c r="B37" s="6" vm="169">
        <f ca="1"/>
        <v>404.15</v>
      </c>
      <c r="C37" s="6" vm="170">
        <v>1245</v>
      </c>
      <c r="D37" s="6" vm="171">
        <v>95.42</v>
      </c>
      <c r="E37" s="6" vm="172">
        <v>575.6</v>
      </c>
      <c r="F37" s="9">
        <f t="shared" ca="1" si="0"/>
        <v>12626.191600000002</v>
      </c>
      <c r="G37" s="7">
        <f t="shared" ca="1" si="1"/>
        <v>-8.9547736131632374E-2</v>
      </c>
      <c r="H37" s="12" t="s">
        <v>38</v>
      </c>
      <c r="I37" s="20" t="s">
        <v>61</v>
      </c>
      <c r="J37" s="1"/>
      <c r="K37" s="1"/>
      <c r="L37" s="1"/>
      <c r="M37" s="1"/>
      <c r="N37" s="1"/>
      <c r="O37" s="1"/>
      <c r="P37" s="1"/>
      <c r="Q37" s="1"/>
      <c r="R37" s="1"/>
    </row>
    <row r="38" spans="1:18" ht="26.25">
      <c r="A38" s="17" vm="173">
        <f ca="1"/>
        <v>46090</v>
      </c>
      <c r="B38" s="6" vm="174">
        <f ca="1"/>
        <v>386.25</v>
      </c>
      <c r="C38" s="6" vm="175">
        <v>1180.4000000000001</v>
      </c>
      <c r="D38" s="6" vm="176">
        <v>94.18</v>
      </c>
      <c r="E38" s="6" vm="177">
        <v>565.20000000000005</v>
      </c>
      <c r="F38" s="9">
        <f t="shared" ca="1" si="0"/>
        <v>12212.7304</v>
      </c>
      <c r="G38" s="7">
        <f t="shared" ca="1" si="1"/>
        <v>-3.2746311247169847E-2</v>
      </c>
      <c r="H38" s="6" t="s">
        <v>44</v>
      </c>
      <c r="I38" s="19" t="s">
        <v>45</v>
      </c>
      <c r="J38" s="1"/>
      <c r="K38" s="1"/>
      <c r="L38" s="1"/>
      <c r="M38" s="1"/>
      <c r="N38" s="1"/>
      <c r="O38" s="1"/>
      <c r="P38" s="1"/>
      <c r="Q38" s="1"/>
      <c r="R38" s="1"/>
    </row>
    <row r="39" spans="1:18" ht="26.25">
      <c r="A39" s="17" vm="178">
        <f ca="1"/>
        <v>46097</v>
      </c>
      <c r="B39" s="6" vm="179">
        <f ca="1"/>
        <v>373.9</v>
      </c>
      <c r="C39" s="6" vm="180">
        <v>1144.2</v>
      </c>
      <c r="D39" s="6" vm="181">
        <v>90.78</v>
      </c>
      <c r="E39" s="6" vm="182">
        <v>519.6</v>
      </c>
      <c r="F39" s="9">
        <f t="shared" ca="1" si="0"/>
        <v>11676.8534</v>
      </c>
      <c r="G39" s="7">
        <f t="shared" ca="1" si="1"/>
        <v>-4.3878558065934249E-2</v>
      </c>
      <c r="H39" s="12" t="s">
        <v>26</v>
      </c>
      <c r="I39" s="18" t="s">
        <v>62</v>
      </c>
      <c r="J39" s="1"/>
      <c r="K39" s="1"/>
      <c r="L39" s="1"/>
      <c r="M39" s="1"/>
      <c r="N39" s="1"/>
      <c r="O39" s="1"/>
      <c r="P39" s="1"/>
      <c r="Q39" s="1"/>
    </row>
    <row r="40" spans="1:18" ht="26.25">
      <c r="A40" s="17" vm="183">
        <f ca="1"/>
        <v>46104</v>
      </c>
      <c r="B40" s="6" vm="184">
        <f ca="1"/>
        <v>382.2</v>
      </c>
      <c r="C40" s="6" vm="185">
        <v>1200</v>
      </c>
      <c r="D40" s="6" vm="186">
        <v>90.44</v>
      </c>
      <c r="E40" s="6" vm="187">
        <v>539.79999999999995</v>
      </c>
      <c r="F40" s="9">
        <f t="shared" ca="1" si="0"/>
        <v>11989.3812</v>
      </c>
      <c r="G40" s="7">
        <f t="shared" ca="1" si="1"/>
        <v>2.6764727559224117E-2</v>
      </c>
      <c r="H40" s="12" t="s">
        <v>39</v>
      </c>
      <c r="I40" s="21" t="s">
        <v>63</v>
      </c>
      <c r="J40" s="1"/>
      <c r="K40" s="1"/>
      <c r="L40" s="1"/>
      <c r="M40" s="1"/>
      <c r="N40" s="1"/>
      <c r="O40" s="1"/>
      <c r="P40" s="1"/>
      <c r="Q40" s="1"/>
    </row>
    <row r="41" spans="1:18" ht="26.25">
      <c r="A41" s="17" vm="188">
        <f ca="1"/>
        <v>46111</v>
      </c>
      <c r="B41" s="6" vm="189">
        <f ca="1"/>
        <v>408.75</v>
      </c>
      <c r="C41" s="6" vm="190">
        <v>1272.8</v>
      </c>
      <c r="D41" s="6" vm="191">
        <v>97.94</v>
      </c>
      <c r="E41" s="6" vm="192">
        <v>575.4</v>
      </c>
      <c r="F41" s="9">
        <f t="shared" ca="1" si="0"/>
        <v>12822.3292</v>
      </c>
      <c r="G41" s="7">
        <f t="shared" ca="1" si="1"/>
        <v>6.9473810708429257E-2</v>
      </c>
      <c r="H41" s="6" t="s">
        <v>44</v>
      </c>
      <c r="I41" s="19" t="s">
        <v>45</v>
      </c>
      <c r="J41" s="1"/>
      <c r="K41" s="1"/>
      <c r="L41" s="1"/>
      <c r="M41" s="1"/>
      <c r="N41" s="1"/>
      <c r="O41" s="1"/>
      <c r="P41" s="1"/>
      <c r="Q41" s="1"/>
    </row>
    <row r="42" spans="1:18" ht="26.25">
      <c r="A42" s="17" vm="193">
        <f ca="1"/>
        <v>46119</v>
      </c>
      <c r="B42" s="6" vm="194">
        <f ca="1"/>
        <v>441</v>
      </c>
      <c r="C42" s="6" vm="195">
        <v>1340.2</v>
      </c>
      <c r="D42" s="6" vm="196">
        <v>100.9</v>
      </c>
      <c r="E42" s="6" vm="197">
        <v>614.4</v>
      </c>
      <c r="F42" s="9">
        <f t="shared" ca="1" si="0"/>
        <v>13551.323</v>
      </c>
      <c r="G42" s="7">
        <f t="shared" ca="1" si="1"/>
        <v>5.6853461538017618E-2</v>
      </c>
      <c r="H42" s="6" t="s">
        <v>44</v>
      </c>
      <c r="I42" s="19" t="s">
        <v>45</v>
      </c>
      <c r="J42" s="1"/>
      <c r="K42" s="1"/>
      <c r="L42" s="1"/>
      <c r="M42" s="1"/>
      <c r="N42" s="1"/>
      <c r="O42" s="1"/>
      <c r="P42" s="1"/>
      <c r="Q42" s="1"/>
    </row>
    <row r="43" spans="1:18" ht="26.25">
      <c r="A43" s="17" vm="198">
        <f ca="1"/>
        <v>46125</v>
      </c>
      <c r="B43" s="6" vm="164">
        <f ca="1"/>
        <v>452.85</v>
      </c>
      <c r="C43" s="6" vm="199">
        <v>1365.2</v>
      </c>
      <c r="D43" s="6" vm="200">
        <v>105.12</v>
      </c>
      <c r="E43" s="6" vm="201">
        <v>626</v>
      </c>
      <c r="F43" s="9">
        <f t="shared" ca="1" si="0"/>
        <v>13908.784600000001</v>
      </c>
      <c r="G43" s="7">
        <f t="shared" ca="1" si="1"/>
        <v>2.6378354349608561E-2</v>
      </c>
      <c r="H43" s="6" t="s">
        <v>44</v>
      </c>
      <c r="I43" s="19" t="s">
        <v>45</v>
      </c>
      <c r="J43" s="1"/>
      <c r="K43" s="1"/>
      <c r="L43" s="1"/>
      <c r="M43" s="1"/>
      <c r="N43" s="1"/>
      <c r="O43" s="1"/>
      <c r="P43" s="1"/>
      <c r="Q43" s="1"/>
    </row>
    <row r="44" spans="1:18" ht="26.25">
      <c r="A44" s="17" vm="202">
        <f ca="1"/>
        <v>46132</v>
      </c>
      <c r="B44" s="6" vm="203">
        <f ca="1"/>
        <v>424.1</v>
      </c>
      <c r="C44" s="6" vm="204">
        <v>1321</v>
      </c>
      <c r="D44" s="6" vm="205">
        <v>97.77</v>
      </c>
      <c r="E44" s="6" vm="206">
        <v>579.4</v>
      </c>
      <c r="F44" s="9">
        <f t="shared" ca="1" si="0"/>
        <v>13091.372100000001</v>
      </c>
      <c r="G44" s="7">
        <f t="shared" ca="1" si="1"/>
        <v>-5.8769513189527743E-2</v>
      </c>
      <c r="H44" s="6" t="s">
        <v>44</v>
      </c>
      <c r="I44" s="19" t="s">
        <v>45</v>
      </c>
      <c r="J44" s="1"/>
      <c r="K44" s="1"/>
      <c r="L44" s="1"/>
      <c r="M44" s="1"/>
      <c r="N44" s="1"/>
      <c r="O44" s="1"/>
      <c r="P44" s="1"/>
      <c r="Q44" s="1"/>
    </row>
    <row r="45" spans="1:18" ht="26.25">
      <c r="A45" s="17" vm="207">
        <f ca="1"/>
        <v>46139</v>
      </c>
      <c r="B45" s="6" vm="208">
        <f ca="1"/>
        <v>433.75</v>
      </c>
      <c r="C45" s="6" vm="209">
        <v>1359.4</v>
      </c>
      <c r="D45" s="6" vm="210">
        <v>98.24</v>
      </c>
      <c r="E45" s="6" vm="211">
        <v>565.6</v>
      </c>
      <c r="F45" s="9">
        <f t="shared" ca="1" si="0"/>
        <v>13221.386200000001</v>
      </c>
      <c r="G45" s="7">
        <f t="shared" ca="1" si="1"/>
        <v>9.9312813818805377E-3</v>
      </c>
      <c r="H45" s="6" t="s">
        <v>44</v>
      </c>
      <c r="I45" s="19" t="s">
        <v>45</v>
      </c>
      <c r="J45" s="1"/>
      <c r="K45" s="1"/>
      <c r="L45" s="1"/>
      <c r="M45" s="1"/>
      <c r="N45" s="1"/>
      <c r="O45" s="1"/>
      <c r="P45" s="1"/>
      <c r="Q45" s="1"/>
    </row>
    <row r="46" spans="1:18" ht="26.25">
      <c r="A46" s="17" vm="212">
        <f ca="1"/>
        <v>46146</v>
      </c>
      <c r="B46" s="6" vm="213">
        <f ca="1"/>
        <v>435</v>
      </c>
      <c r="C46" s="6" vm="214">
        <v>1319.8</v>
      </c>
      <c r="D46" s="6" vm="215">
        <v>99.03</v>
      </c>
      <c r="E46" s="6" vm="216">
        <v>579.79999999999995</v>
      </c>
      <c r="F46" s="9">
        <f t="shared" ca="1" si="0"/>
        <v>13213.781899999998</v>
      </c>
      <c r="G46" s="7">
        <f t="shared" ca="1" si="1"/>
        <v>-5.7515149205782177E-4</v>
      </c>
      <c r="H46" s="12" t="s">
        <v>40</v>
      </c>
      <c r="I46" s="18" t="s">
        <v>64</v>
      </c>
      <c r="J46" s="1"/>
      <c r="K46" s="1"/>
      <c r="L46" s="1"/>
      <c r="M46" s="1"/>
      <c r="N46" s="1"/>
      <c r="O46" s="1"/>
      <c r="P46" s="1"/>
      <c r="Q46" s="1"/>
    </row>
    <row r="47" spans="1:18" ht="26.25">
      <c r="A47" s="17" vm="217">
        <f ca="1"/>
        <v>46153</v>
      </c>
      <c r="B47" s="6" vm="218">
        <f ca="1"/>
        <v>423.3</v>
      </c>
      <c r="C47" s="6" vm="219">
        <v>1324</v>
      </c>
      <c r="D47" s="6" vm="220">
        <v>94.06</v>
      </c>
      <c r="E47" s="6" vm="221">
        <v>561.20000000000005</v>
      </c>
      <c r="F47" s="9">
        <f t="shared" ca="1" si="0"/>
        <v>12881.853800000001</v>
      </c>
      <c r="G47" s="7">
        <f t="shared" ca="1" si="1"/>
        <v>-2.5119840974520503E-2</v>
      </c>
      <c r="H47" s="12" t="s">
        <v>41</v>
      </c>
      <c r="I47" s="18" t="s">
        <v>65</v>
      </c>
      <c r="J47" s="1"/>
      <c r="K47" s="1"/>
      <c r="L47" s="1"/>
      <c r="M47" s="1"/>
      <c r="N47" s="1"/>
      <c r="O47" s="1"/>
      <c r="P47" s="1"/>
      <c r="Q47" s="1"/>
    </row>
    <row r="48" spans="1:18" ht="26.25">
      <c r="A48" s="17" vm="222">
        <f ca="1"/>
        <v>46160</v>
      </c>
      <c r="B48" s="6" vm="223">
        <f ca="1"/>
        <v>445.8</v>
      </c>
      <c r="C48" s="6" vm="224">
        <v>1374.2</v>
      </c>
      <c r="D48" s="6" vm="225">
        <v>99.6</v>
      </c>
      <c r="E48" s="6" vm="226">
        <v>584.20000000000005</v>
      </c>
      <c r="F48" s="9">
        <f t="shared" ca="1" si="0"/>
        <v>13492.342000000001</v>
      </c>
      <c r="G48" s="7">
        <f t="shared" ca="1" si="1"/>
        <v>4.7391331207314258E-2</v>
      </c>
      <c r="H48" s="12" t="s">
        <v>26</v>
      </c>
      <c r="I48" s="18" t="s">
        <v>66</v>
      </c>
      <c r="J48" s="1"/>
      <c r="K48" s="1"/>
      <c r="L48" s="1"/>
      <c r="M48" s="1"/>
      <c r="N48" s="1"/>
      <c r="O48" s="1"/>
      <c r="P48" s="1"/>
      <c r="Q48" s="1"/>
    </row>
    <row r="49" spans="1:17" ht="26.25">
      <c r="A49" s="17" vm="227">
        <f ca="1"/>
        <v>46167</v>
      </c>
      <c r="B49" s="6" vm="228">
        <f ca="1"/>
        <v>457.95</v>
      </c>
      <c r="C49" s="6" vm="165">
        <v>1393.6</v>
      </c>
      <c r="D49" s="6" vm="229">
        <v>101.9</v>
      </c>
      <c r="E49" s="6" vm="230">
        <v>599.4</v>
      </c>
      <c r="F49" s="9">
        <f t="shared" ca="1" si="0"/>
        <v>13791.092000000001</v>
      </c>
      <c r="G49" s="7">
        <f t="shared" ca="1" si="1"/>
        <v>2.2142189991922825E-2</v>
      </c>
      <c r="H49" s="6" t="s">
        <v>44</v>
      </c>
      <c r="I49" s="19" t="s">
        <v>45</v>
      </c>
      <c r="J49" s="1"/>
      <c r="K49" s="1"/>
      <c r="L49" s="1"/>
      <c r="M49" s="1"/>
      <c r="N49" s="1"/>
      <c r="O49" s="1"/>
      <c r="P49" s="1"/>
      <c r="Q49" s="1"/>
    </row>
    <row r="50" spans="1:17" ht="26.25">
      <c r="A50" s="17" vm="231">
        <f ca="1"/>
        <v>46174</v>
      </c>
      <c r="B50" s="6" vm="232">
        <f ca="1"/>
        <v>457.65</v>
      </c>
      <c r="C50" s="6" vm="233">
        <v>1360.8</v>
      </c>
      <c r="D50" s="6" vm="234">
        <v>99.16</v>
      </c>
      <c r="E50" s="6" vm="235">
        <v>593.79999999999995</v>
      </c>
      <c r="F50" s="9">
        <f t="shared" ca="1" si="0"/>
        <v>13577.113799999999</v>
      </c>
      <c r="G50" s="7">
        <f t="shared" ca="1" si="1"/>
        <v>-1.5515682151928315E-2</v>
      </c>
      <c r="H50" s="6" t="s">
        <v>44</v>
      </c>
      <c r="I50" s="19" t="s">
        <v>45</v>
      </c>
      <c r="J50" s="1"/>
      <c r="K50" s="1"/>
      <c r="L50" s="1"/>
      <c r="M50" s="1"/>
      <c r="N50" s="1"/>
      <c r="O50" s="1"/>
      <c r="P50" s="1"/>
      <c r="Q50" s="1"/>
    </row>
    <row r="51" spans="1:17" ht="26.25">
      <c r="A51" s="17" vm="236">
        <f ca="1"/>
        <v>46181</v>
      </c>
      <c r="B51" s="6" vm="237">
        <f ca="1"/>
        <v>472.85</v>
      </c>
      <c r="C51" s="6" vm="238">
        <v>1372.8</v>
      </c>
      <c r="D51" s="6" vm="239">
        <v>102.35</v>
      </c>
      <c r="E51" s="6" vm="240">
        <v>614.20000000000005</v>
      </c>
      <c r="F51" s="9">
        <f t="shared" ca="1" si="0"/>
        <v>13932.770500000001</v>
      </c>
      <c r="G51" s="7">
        <f t="shared" ca="1" si="1"/>
        <v>2.6195309639372794E-2</v>
      </c>
      <c r="H51" s="12" t="s">
        <v>42</v>
      </c>
      <c r="I51" s="18" t="s">
        <v>67</v>
      </c>
      <c r="J51" s="1"/>
      <c r="K51" s="1"/>
      <c r="L51" s="1"/>
      <c r="M51" s="1"/>
      <c r="N51" s="1"/>
      <c r="O51" s="1"/>
      <c r="P51" s="1"/>
      <c r="Q51" s="1"/>
    </row>
    <row r="52" spans="1:17" ht="27" thickBot="1">
      <c r="A52" s="22" vm="241">
        <f ca="1"/>
        <v>46188</v>
      </c>
      <c r="B52" s="23" vm="242">
        <f ca="1"/>
        <v>496.45</v>
      </c>
      <c r="C52" s="23" vm="243">
        <v>1384.6</v>
      </c>
      <c r="D52" s="23" vm="244">
        <v>102.65</v>
      </c>
      <c r="E52" s="23" vm="245">
        <v>614.79999999999995</v>
      </c>
      <c r="F52" s="24">
        <f t="shared" ca="1" si="0"/>
        <v>14158.3315</v>
      </c>
      <c r="G52" s="25">
        <f t="shared" ca="1" si="1"/>
        <v>1.6189242476935917E-2</v>
      </c>
      <c r="H52" s="26" t="s">
        <v>43</v>
      </c>
      <c r="I52" s="27" t="s">
        <v>68</v>
      </c>
      <c r="J52" s="1"/>
      <c r="K52" s="1"/>
      <c r="L52" s="1"/>
      <c r="M52" s="1"/>
      <c r="N52" s="1"/>
      <c r="O52" s="1"/>
      <c r="P52" s="1"/>
      <c r="Q52" s="1"/>
    </row>
    <row r="53" spans="1:17" ht="26.25">
      <c r="A53" s="30" t="s">
        <v>24</v>
      </c>
      <c r="B53" s="30"/>
      <c r="C53" s="30"/>
      <c r="D53" s="30"/>
      <c r="E53" s="30"/>
      <c r="F53" s="30"/>
      <c r="G53" s="30"/>
    </row>
  </sheetData>
  <mergeCells count="1">
    <mergeCell ref="A53:G53"/>
  </mergeCells>
  <conditionalFormatting sqref="G3:G52">
    <cfRule type="cellIs" dxfId="4" priority="4" operator="lessThan">
      <formula>0</formula>
    </cfRule>
    <cfRule type="cellIs" dxfId="3" priority="5" operator="greaterThan">
      <formula>0</formula>
    </cfRule>
  </conditionalFormatting>
  <conditionalFormatting sqref="G4">
    <cfRule type="cellIs" dxfId="2" priority="1" operator="equal">
      <formula>0</formula>
    </cfRule>
  </conditionalFormatting>
  <conditionalFormatting sqref="H2:I52">
    <cfRule type="containsText" dxfId="1" priority="2" operator="containsText" text="Share price movements">
      <formula>NOT(ISERROR(SEARCH("Share price movements",H2)))</formula>
    </cfRule>
    <cfRule type="containsText" dxfId="0" priority="3" stopIfTrue="1" operator="containsText" text="No major">
      <formula>NOT(ISERROR(SEARCH("No major",H2)))</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44F16-644B-9843-9616-F136AFE977BD}">
  <dimension ref="A1:K52"/>
  <sheetViews>
    <sheetView zoomScale="132" workbookViewId="0">
      <selection activeCell="F2" sqref="F2"/>
    </sheetView>
  </sheetViews>
  <sheetFormatPr defaultColWidth="11" defaultRowHeight="15.75"/>
  <sheetData>
    <row r="1" spans="1:11">
      <c r="A1" cm="1" vm="1">
        <f t="array" aca="1" ref="A1:B50" ca="1">_xlfn.STOCKHISTORY("BARC",DATE(2025,7,7),DATE(2026,6,16),1,0)</f>
        <v>45845</v>
      </c>
      <c r="B1" vm="2">
        <f ca="1"/>
        <v>340</v>
      </c>
      <c r="D1" cm="1" vm="1">
        <f t="array" aca="1" ref="D1:E50" ca="1">_xlfn.STOCKHISTORY("HSBA",DATE(2025,7,7),DATE(2026,6,16),1,0)</f>
        <v>45845</v>
      </c>
      <c r="E1" vm="246">
        <f ca="1"/>
        <v>910.5</v>
      </c>
      <c r="G1" cm="1" vm="1">
        <f t="array" aca="1" ref="G1:H50" ca="1">_xlfn.STOCKHISTORY("LLOY",DATE(2025,7,7),DATE(2026,6,16),1,0)</f>
        <v>45845</v>
      </c>
      <c r="H1" vm="3">
        <f ca="1"/>
        <v>75.680000000000007</v>
      </c>
      <c r="J1" cm="1" vm="1">
        <f t="array" aca="1" ref="J1:K50" ca="1">_xlfn.STOCKHISTORY("NWG",DATE(2025,7,7),DATE(2026,6,16),1,0)</f>
        <v>45845</v>
      </c>
      <c r="K1" vm="4">
        <f ca="1"/>
        <v>491.5</v>
      </c>
    </row>
    <row r="2" spans="1:11">
      <c r="A2" vm="5">
        <f ca="1"/>
        <v>45852</v>
      </c>
      <c r="B2" vm="6">
        <f ca="1"/>
        <v>349.65</v>
      </c>
      <c r="D2" vm="5">
        <f ca="1"/>
        <v>45852</v>
      </c>
      <c r="E2" vm="247">
        <f ca="1"/>
        <v>933</v>
      </c>
      <c r="G2" vm="5">
        <f ca="1"/>
        <v>45852</v>
      </c>
      <c r="H2" vm="7">
        <f ca="1"/>
        <v>77.8</v>
      </c>
      <c r="J2" vm="5">
        <f ca="1"/>
        <v>45852</v>
      </c>
      <c r="K2" vm="8">
        <f ca="1"/>
        <v>496.2</v>
      </c>
    </row>
    <row r="3" spans="1:11">
      <c r="A3" vm="9">
        <f ca="1"/>
        <v>45859</v>
      </c>
      <c r="B3" vm="10">
        <f ca="1"/>
        <v>360.5</v>
      </c>
      <c r="D3" vm="9">
        <f ca="1"/>
        <v>45859</v>
      </c>
      <c r="E3" vm="11">
        <f ca="1"/>
        <v>958.4</v>
      </c>
      <c r="G3" vm="9">
        <f ca="1"/>
        <v>45859</v>
      </c>
      <c r="H3" vm="12">
        <f ca="1"/>
        <v>79.040000000000006</v>
      </c>
      <c r="J3" vm="9">
        <f ca="1"/>
        <v>45859</v>
      </c>
      <c r="K3" vm="13">
        <f ca="1"/>
        <v>519.20000000000005</v>
      </c>
    </row>
    <row r="4" spans="1:11">
      <c r="A4" vm="14">
        <f ca="1"/>
        <v>45866</v>
      </c>
      <c r="B4" vm="15">
        <f ca="1"/>
        <v>356.65</v>
      </c>
      <c r="D4" vm="14">
        <f ca="1"/>
        <v>45866</v>
      </c>
      <c r="E4" vm="16">
        <f ca="1"/>
        <v>917.9</v>
      </c>
      <c r="G4" vm="14">
        <f ca="1"/>
        <v>45866</v>
      </c>
      <c r="H4" vm="17">
        <f ca="1"/>
        <v>75.739999999999995</v>
      </c>
      <c r="J4" vm="14">
        <f ca="1"/>
        <v>45866</v>
      </c>
      <c r="K4" vm="18">
        <f ca="1"/>
        <v>511.6</v>
      </c>
    </row>
    <row r="5" spans="1:11">
      <c r="A5" vm="19">
        <f ca="1"/>
        <v>45873</v>
      </c>
      <c r="B5" vm="20">
        <f ca="1"/>
        <v>367.95</v>
      </c>
      <c r="D5" vm="19">
        <f ca="1"/>
        <v>45873</v>
      </c>
      <c r="E5" vm="21">
        <f ca="1"/>
        <v>939.3</v>
      </c>
      <c r="G5" vm="19">
        <f ca="1"/>
        <v>45873</v>
      </c>
      <c r="H5" vm="22">
        <f ca="1"/>
        <v>80.94</v>
      </c>
      <c r="J5" vm="19">
        <f ca="1"/>
        <v>45873</v>
      </c>
      <c r="K5" vm="23">
        <f ca="1"/>
        <v>522.79999999999995</v>
      </c>
    </row>
    <row r="6" spans="1:11">
      <c r="A6" vm="24">
        <f ca="1"/>
        <v>45880</v>
      </c>
      <c r="B6" vm="25">
        <f ca="1"/>
        <v>371.15</v>
      </c>
      <c r="D6" vm="24">
        <f ca="1"/>
        <v>45880</v>
      </c>
      <c r="E6" vm="26">
        <f ca="1"/>
        <v>938.9</v>
      </c>
      <c r="G6" vm="24">
        <f ca="1"/>
        <v>45880</v>
      </c>
      <c r="H6" vm="248">
        <f ca="1"/>
        <v>82.78</v>
      </c>
      <c r="J6" vm="24">
        <f ca="1"/>
        <v>45880</v>
      </c>
      <c r="K6" vm="27">
        <f ca="1"/>
        <v>544</v>
      </c>
    </row>
    <row r="7" spans="1:11">
      <c r="A7" vm="28">
        <f ca="1"/>
        <v>45887</v>
      </c>
      <c r="B7" vm="29">
        <f ca="1"/>
        <v>376.45</v>
      </c>
      <c r="D7" vm="28">
        <f ca="1"/>
        <v>45887</v>
      </c>
      <c r="E7" vm="30">
        <f ca="1"/>
        <v>967.3</v>
      </c>
      <c r="G7" vm="28">
        <f ca="1"/>
        <v>45887</v>
      </c>
      <c r="H7" vm="31">
        <f ca="1"/>
        <v>84.1</v>
      </c>
      <c r="J7" vm="28">
        <f ca="1"/>
        <v>45887</v>
      </c>
      <c r="K7" vm="32">
        <f ca="1"/>
        <v>562.4</v>
      </c>
    </row>
    <row r="8" spans="1:11">
      <c r="A8" vm="33">
        <f ca="1"/>
        <v>45894</v>
      </c>
      <c r="B8" vm="34">
        <f ca="1"/>
        <v>360.4</v>
      </c>
      <c r="D8" vm="33">
        <f ca="1"/>
        <v>45894</v>
      </c>
      <c r="E8" vm="35">
        <f ca="1"/>
        <v>946.7</v>
      </c>
      <c r="G8" vm="33">
        <f ca="1"/>
        <v>45894</v>
      </c>
      <c r="H8" vm="36">
        <f ca="1"/>
        <v>79.52</v>
      </c>
      <c r="J8" vm="33">
        <f ca="1"/>
        <v>45894</v>
      </c>
      <c r="K8" vm="37">
        <f ca="1"/>
        <v>510.6</v>
      </c>
    </row>
    <row r="9" spans="1:11">
      <c r="A9" vm="38">
        <f ca="1"/>
        <v>45901</v>
      </c>
      <c r="B9" vm="39">
        <f ca="1"/>
        <v>361.05</v>
      </c>
      <c r="D9" vm="38">
        <f ca="1"/>
        <v>45901</v>
      </c>
      <c r="E9" vm="40">
        <f ca="1"/>
        <v>963</v>
      </c>
      <c r="G9" vm="38">
        <f ca="1"/>
        <v>45901</v>
      </c>
      <c r="H9" vm="41">
        <f ca="1"/>
        <v>79.36</v>
      </c>
      <c r="J9" vm="38">
        <f ca="1"/>
        <v>45901</v>
      </c>
      <c r="K9" vm="42">
        <f ca="1"/>
        <v>506</v>
      </c>
    </row>
    <row r="10" spans="1:11">
      <c r="A10" vm="43">
        <f ca="1"/>
        <v>45908</v>
      </c>
      <c r="B10" vm="44">
        <f ca="1"/>
        <v>380.1</v>
      </c>
      <c r="D10" vm="43">
        <f ca="1"/>
        <v>45908</v>
      </c>
      <c r="E10" vm="45">
        <f ca="1"/>
        <v>1007</v>
      </c>
      <c r="G10" vm="43">
        <f ca="1"/>
        <v>45908</v>
      </c>
      <c r="H10" vm="46">
        <f ca="1"/>
        <v>82.6</v>
      </c>
      <c r="J10" vm="43">
        <f ca="1"/>
        <v>45908</v>
      </c>
      <c r="K10" vm="47">
        <f ca="1"/>
        <v>529.20000000000005</v>
      </c>
    </row>
    <row r="11" spans="1:11">
      <c r="A11" vm="48">
        <f ca="1"/>
        <v>45915</v>
      </c>
      <c r="B11" vm="49">
        <f ca="1"/>
        <v>381.65</v>
      </c>
      <c r="D11" vm="48">
        <f ca="1"/>
        <v>45915</v>
      </c>
      <c r="E11" vm="50">
        <f ca="1"/>
        <v>1027.8</v>
      </c>
      <c r="G11" vm="48">
        <f ca="1"/>
        <v>45915</v>
      </c>
      <c r="H11" vm="51">
        <f ca="1"/>
        <v>82.14</v>
      </c>
      <c r="J11" vm="48">
        <f ca="1"/>
        <v>45915</v>
      </c>
      <c r="K11" vm="52">
        <f ca="1"/>
        <v>512.6</v>
      </c>
    </row>
    <row r="12" spans="1:11">
      <c r="A12" vm="53">
        <f ca="1"/>
        <v>45922</v>
      </c>
      <c r="B12" vm="54">
        <f ca="1"/>
        <v>382.6</v>
      </c>
      <c r="D12" vm="53">
        <f ca="1"/>
        <v>45922</v>
      </c>
      <c r="E12" vm="55">
        <f ca="1"/>
        <v>1038.8</v>
      </c>
      <c r="G12" vm="53">
        <f ca="1"/>
        <v>45922</v>
      </c>
      <c r="H12" vm="56">
        <f ca="1"/>
        <v>83</v>
      </c>
      <c r="J12" vm="53">
        <f ca="1"/>
        <v>45922</v>
      </c>
      <c r="K12" vm="57">
        <f ca="1"/>
        <v>520.4</v>
      </c>
    </row>
    <row r="13" spans="1:11">
      <c r="A13" vm="58">
        <f ca="1"/>
        <v>45929</v>
      </c>
      <c r="B13" vm="59">
        <f ca="1"/>
        <v>385.35</v>
      </c>
      <c r="D13" vm="58">
        <f ca="1"/>
        <v>45929</v>
      </c>
      <c r="E13" vm="60">
        <f ca="1"/>
        <v>1061.8</v>
      </c>
      <c r="G13" vm="58">
        <f ca="1"/>
        <v>45929</v>
      </c>
      <c r="H13" vm="61">
        <f ca="1"/>
        <v>84.36</v>
      </c>
      <c r="J13" vm="58">
        <f ca="1"/>
        <v>45929</v>
      </c>
      <c r="K13" vm="62">
        <f ca="1"/>
        <v>548</v>
      </c>
    </row>
    <row r="14" spans="1:11">
      <c r="A14" vm="63">
        <f ca="1"/>
        <v>45936</v>
      </c>
      <c r="B14" vm="64">
        <f ca="1"/>
        <v>372.5</v>
      </c>
      <c r="D14" vm="63">
        <f ca="1"/>
        <v>45936</v>
      </c>
      <c r="E14" vm="65">
        <f ca="1"/>
        <v>993.9</v>
      </c>
      <c r="G14" vm="63">
        <f ca="1"/>
        <v>45936</v>
      </c>
      <c r="H14" vm="66">
        <f ca="1"/>
        <v>82.9</v>
      </c>
      <c r="J14" vm="63">
        <f ca="1"/>
        <v>45936</v>
      </c>
      <c r="K14" vm="67">
        <f ca="1"/>
        <v>541.6</v>
      </c>
    </row>
    <row r="15" spans="1:11">
      <c r="A15" vm="68">
        <f ca="1"/>
        <v>45943</v>
      </c>
      <c r="B15" vm="69">
        <f ca="1"/>
        <v>357.8</v>
      </c>
      <c r="D15" vm="68">
        <f ca="1"/>
        <v>45943</v>
      </c>
      <c r="E15" vm="70">
        <f ca="1"/>
        <v>964.3</v>
      </c>
      <c r="G15" vm="68">
        <f ca="1"/>
        <v>45943</v>
      </c>
      <c r="H15" vm="71">
        <f ca="1"/>
        <v>82.44</v>
      </c>
      <c r="J15" vm="68">
        <f ca="1"/>
        <v>45943</v>
      </c>
      <c r="K15" vm="72">
        <f ca="1"/>
        <v>532.4</v>
      </c>
    </row>
    <row r="16" spans="1:11">
      <c r="A16" vm="73">
        <f ca="1"/>
        <v>45950</v>
      </c>
      <c r="B16" vm="74">
        <f ca="1"/>
        <v>388.3</v>
      </c>
      <c r="D16" vm="73">
        <f ca="1"/>
        <v>45950</v>
      </c>
      <c r="E16" vm="75">
        <f ca="1"/>
        <v>1004</v>
      </c>
      <c r="G16" vm="73">
        <f ca="1"/>
        <v>45950</v>
      </c>
      <c r="H16" vm="76">
        <f ca="1"/>
        <v>85.86</v>
      </c>
      <c r="J16" vm="73">
        <f ca="1"/>
        <v>45950</v>
      </c>
      <c r="K16" vm="77">
        <f ca="1"/>
        <v>572.4</v>
      </c>
    </row>
    <row r="17" spans="1:11">
      <c r="A17" vm="78">
        <f ca="1"/>
        <v>45957</v>
      </c>
      <c r="B17" vm="79">
        <f ca="1"/>
        <v>407</v>
      </c>
      <c r="D17" vm="78">
        <f ca="1"/>
        <v>45957</v>
      </c>
      <c r="E17" vm="80">
        <f ca="1"/>
        <v>1063.4000000000001</v>
      </c>
      <c r="G17" vm="78">
        <f ca="1"/>
        <v>45957</v>
      </c>
      <c r="H17" vm="81">
        <f ca="1"/>
        <v>89.08</v>
      </c>
      <c r="J17" vm="78">
        <f ca="1"/>
        <v>45957</v>
      </c>
      <c r="K17" vm="82">
        <f ca="1"/>
        <v>584</v>
      </c>
    </row>
    <row r="18" spans="1:11">
      <c r="A18" vm="83">
        <f ca="1"/>
        <v>45964</v>
      </c>
      <c r="B18" vm="84">
        <f ca="1"/>
        <v>404.7</v>
      </c>
      <c r="D18" vm="83">
        <f ca="1"/>
        <v>45964</v>
      </c>
      <c r="E18" vm="85">
        <f ca="1"/>
        <v>1070.8</v>
      </c>
      <c r="G18" vm="83">
        <f ca="1"/>
        <v>45964</v>
      </c>
      <c r="H18" vm="86">
        <f ca="1"/>
        <v>90.6</v>
      </c>
      <c r="J18" vm="83">
        <f ca="1"/>
        <v>45964</v>
      </c>
      <c r="K18" vm="87">
        <f ca="1"/>
        <v>598.79999999999995</v>
      </c>
    </row>
    <row r="19" spans="1:11">
      <c r="A19" vm="88">
        <f ca="1"/>
        <v>45971</v>
      </c>
      <c r="B19" vm="89">
        <f ca="1"/>
        <v>413.5</v>
      </c>
      <c r="D19" vm="88">
        <f ca="1"/>
        <v>45971</v>
      </c>
      <c r="E19" vm="90">
        <f ca="1"/>
        <v>1104.4000000000001</v>
      </c>
      <c r="G19" vm="88">
        <f ca="1"/>
        <v>45971</v>
      </c>
      <c r="H19" vm="91">
        <f ca="1"/>
        <v>91.5</v>
      </c>
      <c r="J19" vm="88">
        <f ca="1"/>
        <v>45971</v>
      </c>
      <c r="K19" vm="92">
        <f ca="1"/>
        <v>600.79999999999995</v>
      </c>
    </row>
    <row r="20" spans="1:11">
      <c r="A20" vm="93">
        <f ca="1"/>
        <v>45978</v>
      </c>
      <c r="B20" vm="94">
        <f ca="1"/>
        <v>392.2</v>
      </c>
      <c r="D20" vm="93">
        <f ca="1"/>
        <v>45978</v>
      </c>
      <c r="E20" vm="95">
        <f ca="1"/>
        <v>1041.4000000000001</v>
      </c>
      <c r="G20" vm="93">
        <f ca="1"/>
        <v>45978</v>
      </c>
      <c r="H20" vm="96">
        <f ca="1"/>
        <v>87.12</v>
      </c>
      <c r="J20" vm="93">
        <f ca="1"/>
        <v>45978</v>
      </c>
      <c r="K20" vm="97">
        <f ca="1"/>
        <v>579.20000000000005</v>
      </c>
    </row>
    <row r="21" spans="1:11">
      <c r="A21" vm="98">
        <f ca="1"/>
        <v>45985</v>
      </c>
      <c r="B21" vm="99">
        <f ca="1"/>
        <v>430.25</v>
      </c>
      <c r="D21" vm="98">
        <f ca="1"/>
        <v>45985</v>
      </c>
      <c r="E21" vm="100">
        <f ca="1"/>
        <v>1070.2</v>
      </c>
      <c r="G21" vm="98">
        <f ca="1"/>
        <v>45985</v>
      </c>
      <c r="H21" vm="101">
        <f ca="1"/>
        <v>96.14</v>
      </c>
      <c r="J21" vm="98">
        <f ca="1"/>
        <v>45985</v>
      </c>
      <c r="K21" vm="102">
        <f ca="1"/>
        <v>632.20000000000005</v>
      </c>
    </row>
    <row r="22" spans="1:11">
      <c r="A22" vm="103">
        <f ca="1"/>
        <v>45992</v>
      </c>
      <c r="B22" vm="104">
        <f ca="1"/>
        <v>434.4</v>
      </c>
      <c r="D22" vm="103">
        <f ca="1"/>
        <v>45992</v>
      </c>
      <c r="E22" vm="105">
        <f ca="1"/>
        <v>1062</v>
      </c>
      <c r="G22" vm="103">
        <f ca="1"/>
        <v>45992</v>
      </c>
      <c r="H22" vm="106">
        <f ca="1"/>
        <v>95.76</v>
      </c>
      <c r="J22" vm="103">
        <f ca="1"/>
        <v>45992</v>
      </c>
      <c r="K22" vm="107">
        <f ca="1"/>
        <v>617.6</v>
      </c>
    </row>
    <row r="23" spans="1:11">
      <c r="A23" vm="108">
        <f ca="1"/>
        <v>45999</v>
      </c>
      <c r="B23" vm="109">
        <f ca="1"/>
        <v>444.35</v>
      </c>
      <c r="D23" vm="108">
        <f ca="1"/>
        <v>45999</v>
      </c>
      <c r="E23" vm="110">
        <f ca="1"/>
        <v>1111.8</v>
      </c>
      <c r="G23" vm="108">
        <f ca="1"/>
        <v>45999</v>
      </c>
      <c r="H23" vm="111">
        <f ca="1"/>
        <v>93.72</v>
      </c>
      <c r="J23" vm="108">
        <f ca="1"/>
        <v>45999</v>
      </c>
      <c r="K23" vm="112">
        <f ca="1"/>
        <v>612</v>
      </c>
    </row>
    <row r="24" spans="1:11">
      <c r="A24" vm="113">
        <f ca="1"/>
        <v>46006</v>
      </c>
      <c r="B24" vm="114">
        <f ca="1"/>
        <v>468.95</v>
      </c>
      <c r="D24" vm="113">
        <f ca="1"/>
        <v>46006</v>
      </c>
      <c r="E24" vm="115">
        <f ca="1"/>
        <v>1167</v>
      </c>
      <c r="G24" vm="113">
        <f ca="1"/>
        <v>46006</v>
      </c>
      <c r="H24" vm="116">
        <f ca="1"/>
        <v>97.42</v>
      </c>
      <c r="J24" vm="113">
        <f ca="1"/>
        <v>46006</v>
      </c>
      <c r="K24" vm="117">
        <f ca="1"/>
        <v>644.79999999999995</v>
      </c>
    </row>
    <row r="25" spans="1:11">
      <c r="A25" vm="118">
        <f ca="1"/>
        <v>46013</v>
      </c>
      <c r="B25" vm="119">
        <f ca="1"/>
        <v>469.75</v>
      </c>
      <c r="D25" vm="118">
        <f ca="1"/>
        <v>46013</v>
      </c>
      <c r="E25" vm="120">
        <f ca="1"/>
        <v>1175.4000000000001</v>
      </c>
      <c r="G25" vm="118">
        <f ca="1"/>
        <v>46013</v>
      </c>
      <c r="H25" vm="121">
        <f ca="1"/>
        <v>97</v>
      </c>
      <c r="J25" vm="118">
        <f ca="1"/>
        <v>46013</v>
      </c>
      <c r="K25" vm="122">
        <f ca="1"/>
        <v>646.79999999999995</v>
      </c>
    </row>
    <row r="26" spans="1:11">
      <c r="A26" vm="123">
        <f ca="1"/>
        <v>46020</v>
      </c>
      <c r="B26" vm="124">
        <f ca="1"/>
        <v>479.5</v>
      </c>
      <c r="D26" vm="123">
        <f ca="1"/>
        <v>46020</v>
      </c>
      <c r="E26" vm="125">
        <f ca="1"/>
        <v>1191.8</v>
      </c>
      <c r="G26" vm="123">
        <f ca="1"/>
        <v>46020</v>
      </c>
      <c r="H26" vm="126">
        <f ca="1"/>
        <v>99.24</v>
      </c>
      <c r="J26" vm="123">
        <f ca="1"/>
        <v>46020</v>
      </c>
      <c r="K26" vm="127">
        <f ca="1"/>
        <v>657.6</v>
      </c>
    </row>
    <row r="27" spans="1:11">
      <c r="A27" vm="128">
        <f ca="1"/>
        <v>46027</v>
      </c>
      <c r="B27" vm="129">
        <f ca="1"/>
        <v>484.9</v>
      </c>
      <c r="D27" vm="128">
        <f ca="1"/>
        <v>46027</v>
      </c>
      <c r="E27" vm="130">
        <f ca="1"/>
        <v>1194.2</v>
      </c>
      <c r="G27" vm="128">
        <f ca="1"/>
        <v>46027</v>
      </c>
      <c r="H27" vm="131">
        <f ca="1"/>
        <v>100.3</v>
      </c>
      <c r="J27" vm="128">
        <f ca="1"/>
        <v>46027</v>
      </c>
      <c r="K27" vm="132">
        <f ca="1"/>
        <v>642.6</v>
      </c>
    </row>
    <row r="28" spans="1:11">
      <c r="A28" vm="133">
        <f ca="1"/>
        <v>46034</v>
      </c>
      <c r="B28" vm="134">
        <f ca="1"/>
        <v>488.95</v>
      </c>
      <c r="D28" vm="133">
        <f ca="1"/>
        <v>46034</v>
      </c>
      <c r="E28" vm="135">
        <f ca="1"/>
        <v>1232</v>
      </c>
      <c r="G28" vm="133">
        <f ca="1"/>
        <v>46034</v>
      </c>
      <c r="H28" vm="136">
        <f ca="1"/>
        <v>102.1</v>
      </c>
      <c r="J28" vm="133">
        <f ca="1"/>
        <v>46034</v>
      </c>
      <c r="K28" vm="137">
        <f ca="1"/>
        <v>652.79999999999995</v>
      </c>
    </row>
    <row r="29" spans="1:11">
      <c r="A29" vm="138">
        <f ca="1"/>
        <v>46041</v>
      </c>
      <c r="B29" vm="139">
        <f ca="1"/>
        <v>480.3</v>
      </c>
      <c r="D29" vm="138">
        <f ca="1"/>
        <v>46041</v>
      </c>
      <c r="E29" vm="140">
        <f ca="1"/>
        <v>1231</v>
      </c>
      <c r="G29" vm="138">
        <f ca="1"/>
        <v>46041</v>
      </c>
      <c r="H29" vm="141">
        <f ca="1"/>
        <v>101.65</v>
      </c>
      <c r="J29" vm="138">
        <f ca="1"/>
        <v>46041</v>
      </c>
      <c r="K29" vm="142">
        <f ca="1"/>
        <v>646.6</v>
      </c>
    </row>
    <row r="30" spans="1:11">
      <c r="A30" vm="143">
        <f ca="1"/>
        <v>46048</v>
      </c>
      <c r="B30" vm="144">
        <f ca="1"/>
        <v>486.2</v>
      </c>
      <c r="D30" vm="143">
        <f ca="1"/>
        <v>46048</v>
      </c>
      <c r="E30" vm="145">
        <f ca="1"/>
        <v>1285.4000000000001</v>
      </c>
      <c r="G30" vm="143">
        <f ca="1"/>
        <v>46048</v>
      </c>
      <c r="H30" vm="146">
        <f ca="1"/>
        <v>108.95</v>
      </c>
      <c r="J30" vm="143">
        <f ca="1"/>
        <v>46048</v>
      </c>
      <c r="K30" vm="147">
        <f ca="1"/>
        <v>665.2</v>
      </c>
    </row>
    <row r="31" spans="1:11">
      <c r="A31" vm="148">
        <f ca="1"/>
        <v>46055</v>
      </c>
      <c r="B31" vm="149">
        <f ca="1"/>
        <v>479.1</v>
      </c>
      <c r="D31" vm="148">
        <f ca="1"/>
        <v>46055</v>
      </c>
      <c r="E31" vm="150">
        <f ca="1"/>
        <v>1305.8</v>
      </c>
      <c r="G31" vm="148">
        <f ca="1"/>
        <v>46055</v>
      </c>
      <c r="H31" vm="151">
        <f ca="1"/>
        <v>106.75</v>
      </c>
      <c r="J31" vm="148">
        <f ca="1"/>
        <v>46055</v>
      </c>
      <c r="K31" vm="152">
        <f ca="1"/>
        <v>659.4</v>
      </c>
    </row>
    <row r="32" spans="1:11">
      <c r="A32" vm="153">
        <f ca="1"/>
        <v>46062</v>
      </c>
      <c r="B32" vm="154">
        <f ca="1"/>
        <v>454</v>
      </c>
      <c r="D32" vm="153">
        <f ca="1"/>
        <v>46062</v>
      </c>
      <c r="E32" vm="155">
        <f ca="1"/>
        <v>1238.5999999999999</v>
      </c>
      <c r="G32" vm="153">
        <f ca="1"/>
        <v>46062</v>
      </c>
      <c r="H32" vm="156">
        <f ca="1"/>
        <v>100.4</v>
      </c>
      <c r="J32" vm="153">
        <f ca="1"/>
        <v>46062</v>
      </c>
      <c r="K32" vm="157">
        <f ca="1"/>
        <v>580.20000000000005</v>
      </c>
    </row>
    <row r="33" spans="1:11">
      <c r="A33" vm="158">
        <f ca="1"/>
        <v>46069</v>
      </c>
      <c r="B33" vm="159">
        <f ca="1"/>
        <v>473.8</v>
      </c>
      <c r="D33" vm="158">
        <f ca="1"/>
        <v>46069</v>
      </c>
      <c r="E33" vm="160">
        <f ca="1"/>
        <v>1290</v>
      </c>
      <c r="G33" vm="158">
        <f ca="1"/>
        <v>46069</v>
      </c>
      <c r="H33" vm="161">
        <f ca="1"/>
        <v>104.15</v>
      </c>
      <c r="J33" vm="158">
        <f ca="1"/>
        <v>46069</v>
      </c>
      <c r="K33" vm="162">
        <f ca="1"/>
        <v>615.6</v>
      </c>
    </row>
    <row r="34" spans="1:11">
      <c r="A34" vm="163">
        <f ca="1"/>
        <v>46076</v>
      </c>
      <c r="B34" vm="164">
        <f ca="1"/>
        <v>452.85</v>
      </c>
      <c r="D34" vm="163">
        <f ca="1"/>
        <v>46076</v>
      </c>
      <c r="E34" vm="165">
        <f ca="1"/>
        <v>1393.6</v>
      </c>
      <c r="G34" vm="163">
        <f ca="1"/>
        <v>46076</v>
      </c>
      <c r="H34" vm="166">
        <f ca="1"/>
        <v>102.45</v>
      </c>
      <c r="J34" vm="163">
        <f ca="1"/>
        <v>46076</v>
      </c>
      <c r="K34" vm="167">
        <f ca="1"/>
        <v>619</v>
      </c>
    </row>
    <row r="35" spans="1:11">
      <c r="A35" vm="168">
        <f ca="1"/>
        <v>46083</v>
      </c>
      <c r="B35" vm="169">
        <f ca="1"/>
        <v>404.15</v>
      </c>
      <c r="D35" vm="168">
        <f ca="1"/>
        <v>46083</v>
      </c>
      <c r="E35" vm="170">
        <f ca="1"/>
        <v>1245</v>
      </c>
      <c r="G35" vm="168">
        <f ca="1"/>
        <v>46083</v>
      </c>
      <c r="H35" vm="171">
        <f ca="1"/>
        <v>95.42</v>
      </c>
      <c r="J35" vm="168">
        <f ca="1"/>
        <v>46083</v>
      </c>
      <c r="K35" vm="172">
        <f ca="1"/>
        <v>575.6</v>
      </c>
    </row>
    <row r="36" spans="1:11">
      <c r="A36" vm="173">
        <f ca="1"/>
        <v>46090</v>
      </c>
      <c r="B36" vm="174">
        <f ca="1"/>
        <v>386.25</v>
      </c>
      <c r="D36" vm="173">
        <f ca="1"/>
        <v>46090</v>
      </c>
      <c r="E36" vm="175">
        <f ca="1"/>
        <v>1180.4000000000001</v>
      </c>
      <c r="G36" vm="173">
        <f ca="1"/>
        <v>46090</v>
      </c>
      <c r="H36" vm="176">
        <f ca="1"/>
        <v>94.18</v>
      </c>
      <c r="J36" vm="173">
        <f ca="1"/>
        <v>46090</v>
      </c>
      <c r="K36" vm="177">
        <f ca="1"/>
        <v>565.20000000000005</v>
      </c>
    </row>
    <row r="37" spans="1:11">
      <c r="A37" vm="178">
        <f ca="1"/>
        <v>46097</v>
      </c>
      <c r="B37" vm="179">
        <f ca="1"/>
        <v>373.9</v>
      </c>
      <c r="D37" vm="178">
        <f ca="1"/>
        <v>46097</v>
      </c>
      <c r="E37" vm="180">
        <f ca="1"/>
        <v>1144.2</v>
      </c>
      <c r="G37" vm="178">
        <f ca="1"/>
        <v>46097</v>
      </c>
      <c r="H37" vm="181">
        <f ca="1"/>
        <v>90.78</v>
      </c>
      <c r="J37" vm="178">
        <f ca="1"/>
        <v>46097</v>
      </c>
      <c r="K37" vm="182">
        <f ca="1"/>
        <v>519.6</v>
      </c>
    </row>
    <row r="38" spans="1:11">
      <c r="A38" vm="183">
        <f ca="1"/>
        <v>46104</v>
      </c>
      <c r="B38" vm="184">
        <f ca="1"/>
        <v>382.2</v>
      </c>
      <c r="D38" vm="183">
        <f ca="1"/>
        <v>46104</v>
      </c>
      <c r="E38" vm="185">
        <f ca="1"/>
        <v>1200</v>
      </c>
      <c r="G38" vm="183">
        <f ca="1"/>
        <v>46104</v>
      </c>
      <c r="H38" vm="186">
        <f ca="1"/>
        <v>90.44</v>
      </c>
      <c r="J38" vm="183">
        <f ca="1"/>
        <v>46104</v>
      </c>
      <c r="K38" vm="187">
        <f ca="1"/>
        <v>539.79999999999995</v>
      </c>
    </row>
    <row r="39" spans="1:11">
      <c r="A39" vm="188">
        <f ca="1"/>
        <v>46111</v>
      </c>
      <c r="B39" vm="189">
        <f ca="1"/>
        <v>408.75</v>
      </c>
      <c r="D39" vm="188">
        <f ca="1"/>
        <v>46111</v>
      </c>
      <c r="E39" vm="190">
        <f ca="1"/>
        <v>1272.8</v>
      </c>
      <c r="G39" vm="188">
        <f ca="1"/>
        <v>46111</v>
      </c>
      <c r="H39" vm="191">
        <f ca="1"/>
        <v>97.94</v>
      </c>
      <c r="J39" vm="188">
        <f ca="1"/>
        <v>46111</v>
      </c>
      <c r="K39" vm="192">
        <f ca="1"/>
        <v>575.4</v>
      </c>
    </row>
    <row r="40" spans="1:11">
      <c r="A40" vm="193">
        <f ca="1"/>
        <v>46119</v>
      </c>
      <c r="B40" vm="194">
        <f ca="1"/>
        <v>441</v>
      </c>
      <c r="D40" vm="193">
        <f ca="1"/>
        <v>46119</v>
      </c>
      <c r="E40" vm="195">
        <f ca="1"/>
        <v>1340.2</v>
      </c>
      <c r="G40" vm="193">
        <f ca="1"/>
        <v>46119</v>
      </c>
      <c r="H40" vm="196">
        <f ca="1"/>
        <v>100.9</v>
      </c>
      <c r="J40" vm="193">
        <f ca="1"/>
        <v>46119</v>
      </c>
      <c r="K40" vm="197">
        <f ca="1"/>
        <v>614.4</v>
      </c>
    </row>
    <row r="41" spans="1:11">
      <c r="A41" vm="198">
        <f ca="1"/>
        <v>46125</v>
      </c>
      <c r="B41" vm="164">
        <f ca="1"/>
        <v>452.85</v>
      </c>
      <c r="D41" vm="198">
        <f ca="1"/>
        <v>46125</v>
      </c>
      <c r="E41" vm="199">
        <f ca="1"/>
        <v>1365.2</v>
      </c>
      <c r="G41" vm="198">
        <f ca="1"/>
        <v>46125</v>
      </c>
      <c r="H41" vm="200">
        <f ca="1"/>
        <v>105.12</v>
      </c>
      <c r="J41" vm="198">
        <f ca="1"/>
        <v>46125</v>
      </c>
      <c r="K41" vm="201">
        <f ca="1"/>
        <v>626</v>
      </c>
    </row>
    <row r="42" spans="1:11">
      <c r="A42" vm="202">
        <f ca="1"/>
        <v>46132</v>
      </c>
      <c r="B42" vm="203">
        <f ca="1"/>
        <v>424.1</v>
      </c>
      <c r="D42" vm="202">
        <f ca="1"/>
        <v>46132</v>
      </c>
      <c r="E42" vm="204">
        <f ca="1"/>
        <v>1321</v>
      </c>
      <c r="G42" vm="202">
        <f ca="1"/>
        <v>46132</v>
      </c>
      <c r="H42" vm="205">
        <f ca="1"/>
        <v>97.77</v>
      </c>
      <c r="J42" vm="202">
        <f ca="1"/>
        <v>46132</v>
      </c>
      <c r="K42" vm="206">
        <f ca="1"/>
        <v>579.4</v>
      </c>
    </row>
    <row r="43" spans="1:11">
      <c r="A43" vm="207">
        <f ca="1"/>
        <v>46139</v>
      </c>
      <c r="B43" vm="208">
        <f ca="1"/>
        <v>433.75</v>
      </c>
      <c r="D43" vm="207">
        <f ca="1"/>
        <v>46139</v>
      </c>
      <c r="E43" vm="209">
        <f ca="1"/>
        <v>1359.4</v>
      </c>
      <c r="G43" vm="207">
        <f ca="1"/>
        <v>46139</v>
      </c>
      <c r="H43" vm="210">
        <f ca="1"/>
        <v>98.24</v>
      </c>
      <c r="J43" vm="207">
        <f ca="1"/>
        <v>46139</v>
      </c>
      <c r="K43" vm="211">
        <f ca="1"/>
        <v>565.6</v>
      </c>
    </row>
    <row r="44" spans="1:11">
      <c r="A44" vm="212">
        <f ca="1"/>
        <v>46146</v>
      </c>
      <c r="B44" vm="213">
        <f ca="1"/>
        <v>435</v>
      </c>
      <c r="D44" vm="212">
        <f ca="1"/>
        <v>46146</v>
      </c>
      <c r="E44" vm="214">
        <f ca="1"/>
        <v>1319.8</v>
      </c>
      <c r="G44" vm="212">
        <f ca="1"/>
        <v>46146</v>
      </c>
      <c r="H44" vm="215">
        <f ca="1"/>
        <v>99.03</v>
      </c>
      <c r="J44" vm="212">
        <f ca="1"/>
        <v>46146</v>
      </c>
      <c r="K44" vm="216">
        <f ca="1"/>
        <v>579.79999999999995</v>
      </c>
    </row>
    <row r="45" spans="1:11">
      <c r="A45" vm="217">
        <f ca="1"/>
        <v>46153</v>
      </c>
      <c r="B45" vm="218">
        <f ca="1"/>
        <v>423.3</v>
      </c>
      <c r="D45" vm="217">
        <f ca="1"/>
        <v>46153</v>
      </c>
      <c r="E45" vm="219">
        <f ca="1"/>
        <v>1324</v>
      </c>
      <c r="G45" vm="217">
        <f ca="1"/>
        <v>46153</v>
      </c>
      <c r="H45" vm="220">
        <f ca="1"/>
        <v>94.06</v>
      </c>
      <c r="J45" vm="217">
        <f ca="1"/>
        <v>46153</v>
      </c>
      <c r="K45" vm="221">
        <f ca="1"/>
        <v>561.20000000000005</v>
      </c>
    </row>
    <row r="46" spans="1:11">
      <c r="A46" vm="222">
        <f ca="1"/>
        <v>46160</v>
      </c>
      <c r="B46" vm="223">
        <f ca="1"/>
        <v>445.8</v>
      </c>
      <c r="D46" vm="222">
        <f ca="1"/>
        <v>46160</v>
      </c>
      <c r="E46" vm="224">
        <f ca="1"/>
        <v>1374.2</v>
      </c>
      <c r="G46" vm="222">
        <f ca="1"/>
        <v>46160</v>
      </c>
      <c r="H46" vm="225">
        <f ca="1"/>
        <v>99.6</v>
      </c>
      <c r="J46" vm="222">
        <f ca="1"/>
        <v>46160</v>
      </c>
      <c r="K46" vm="226">
        <f ca="1"/>
        <v>584.20000000000005</v>
      </c>
    </row>
    <row r="47" spans="1:11">
      <c r="A47" vm="227">
        <f ca="1"/>
        <v>46167</v>
      </c>
      <c r="B47" vm="228">
        <f ca="1"/>
        <v>457.95</v>
      </c>
      <c r="D47" vm="227">
        <f ca="1"/>
        <v>46167</v>
      </c>
      <c r="E47" vm="165">
        <f ca="1"/>
        <v>1393.6</v>
      </c>
      <c r="G47" vm="227">
        <f ca="1"/>
        <v>46167</v>
      </c>
      <c r="H47" vm="229">
        <f ca="1"/>
        <v>101.9</v>
      </c>
      <c r="J47" vm="227">
        <f ca="1"/>
        <v>46167</v>
      </c>
      <c r="K47" vm="230">
        <f ca="1"/>
        <v>599.4</v>
      </c>
    </row>
    <row r="48" spans="1:11">
      <c r="A48" vm="231">
        <f ca="1"/>
        <v>46174</v>
      </c>
      <c r="B48" vm="232">
        <f ca="1"/>
        <v>457.65</v>
      </c>
      <c r="D48" vm="231">
        <f ca="1"/>
        <v>46174</v>
      </c>
      <c r="E48" vm="233">
        <f ca="1"/>
        <v>1360.8</v>
      </c>
      <c r="G48" vm="231">
        <f ca="1"/>
        <v>46174</v>
      </c>
      <c r="H48" vm="234">
        <f ca="1"/>
        <v>99.16</v>
      </c>
      <c r="J48" vm="231">
        <f ca="1"/>
        <v>46174</v>
      </c>
      <c r="K48" vm="235">
        <f ca="1"/>
        <v>593.79999999999995</v>
      </c>
    </row>
    <row r="49" spans="1:11">
      <c r="A49" vm="236">
        <f ca="1"/>
        <v>46181</v>
      </c>
      <c r="B49" vm="237">
        <f ca="1"/>
        <v>472.85</v>
      </c>
      <c r="D49" vm="236">
        <f ca="1"/>
        <v>46181</v>
      </c>
      <c r="E49" vm="238">
        <f ca="1"/>
        <v>1372.8</v>
      </c>
      <c r="G49" vm="236">
        <f ca="1"/>
        <v>46181</v>
      </c>
      <c r="H49" vm="239">
        <f ca="1"/>
        <v>102.35</v>
      </c>
      <c r="J49" vm="236">
        <f ca="1"/>
        <v>46181</v>
      </c>
      <c r="K49" vm="240">
        <f ca="1"/>
        <v>614.20000000000005</v>
      </c>
    </row>
    <row r="50" spans="1:11">
      <c r="A50" vm="241">
        <f ca="1"/>
        <v>46188</v>
      </c>
      <c r="B50" vm="242">
        <f ca="1"/>
        <v>496.45</v>
      </c>
      <c r="D50" vm="241">
        <f ca="1"/>
        <v>46188</v>
      </c>
      <c r="E50" vm="249">
        <f ca="1"/>
        <v>1431.6</v>
      </c>
      <c r="G50" vm="241">
        <f ca="1"/>
        <v>46188</v>
      </c>
      <c r="H50" vm="250">
        <f ca="1"/>
        <v>105.1</v>
      </c>
      <c r="J50" vm="241">
        <f ca="1"/>
        <v>46188</v>
      </c>
      <c r="K50" vm="251">
        <f ca="1"/>
        <v>637.79999999999995</v>
      </c>
    </row>
    <row r="52" spans="1:11">
      <c r="A52" t="s">
        <v>2</v>
      </c>
      <c r="D52" t="s">
        <v>3</v>
      </c>
      <c r="G52" t="s">
        <v>4</v>
      </c>
      <c r="J52" t="s">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F23D3-220E-414E-8A32-9FDCC15E1CFF}">
  <dimension ref="A1:AA33"/>
  <sheetViews>
    <sheetView tabSelected="1" zoomScale="50" workbookViewId="0">
      <selection activeCell="B1" sqref="B1:L7"/>
    </sheetView>
  </sheetViews>
  <sheetFormatPr defaultColWidth="11" defaultRowHeight="15.75"/>
  <cols>
    <col min="1" max="1" width="29.5" customWidth="1"/>
    <col min="12" max="12" width="9.875" customWidth="1"/>
  </cols>
  <sheetData>
    <row r="1" spans="1:27" ht="26.25">
      <c r="A1" s="32" t="s">
        <v>72</v>
      </c>
      <c r="B1" s="36" t="s">
        <v>71</v>
      </c>
      <c r="C1" s="36"/>
      <c r="D1" s="36"/>
      <c r="E1" s="36"/>
      <c r="F1" s="36"/>
      <c r="G1" s="36"/>
      <c r="H1" s="36"/>
      <c r="I1" s="36"/>
      <c r="J1" s="36"/>
      <c r="K1" s="36"/>
      <c r="L1" s="37"/>
      <c r="M1" s="1"/>
      <c r="O1" s="35" t="s">
        <v>74</v>
      </c>
      <c r="P1" s="35"/>
      <c r="Q1" s="35"/>
      <c r="R1" s="31" t="s">
        <v>75</v>
      </c>
      <c r="S1" s="31"/>
      <c r="T1" s="31"/>
      <c r="U1" s="31"/>
      <c r="V1" s="31"/>
      <c r="W1" s="31"/>
      <c r="X1" s="31"/>
      <c r="Y1" s="31"/>
      <c r="Z1" s="31"/>
      <c r="AA1" s="31"/>
    </row>
    <row r="2" spans="1:27" ht="26.25">
      <c r="A2" s="33"/>
      <c r="B2" s="38"/>
      <c r="C2" s="38"/>
      <c r="D2" s="38"/>
      <c r="E2" s="38"/>
      <c r="F2" s="38"/>
      <c r="G2" s="38"/>
      <c r="H2" s="38"/>
      <c r="I2" s="38"/>
      <c r="J2" s="38"/>
      <c r="K2" s="38"/>
      <c r="L2" s="39"/>
      <c r="M2" s="1"/>
      <c r="O2" s="35"/>
      <c r="P2" s="35"/>
      <c r="Q2" s="35"/>
      <c r="R2" s="31"/>
      <c r="S2" s="31"/>
      <c r="T2" s="31"/>
      <c r="U2" s="31"/>
      <c r="V2" s="31"/>
      <c r="W2" s="31"/>
      <c r="X2" s="31"/>
      <c r="Y2" s="31"/>
      <c r="Z2" s="31"/>
      <c r="AA2" s="31"/>
    </row>
    <row r="3" spans="1:27" ht="26.25">
      <c r="A3" s="33"/>
      <c r="B3" s="38"/>
      <c r="C3" s="38"/>
      <c r="D3" s="38"/>
      <c r="E3" s="38"/>
      <c r="F3" s="38"/>
      <c r="G3" s="38"/>
      <c r="H3" s="38"/>
      <c r="I3" s="38"/>
      <c r="J3" s="38"/>
      <c r="K3" s="38"/>
      <c r="L3" s="39"/>
      <c r="M3" s="1"/>
      <c r="O3" s="35"/>
      <c r="P3" s="35"/>
      <c r="Q3" s="35"/>
      <c r="R3" s="31"/>
      <c r="S3" s="31"/>
      <c r="T3" s="31"/>
      <c r="U3" s="31"/>
      <c r="V3" s="31"/>
      <c r="W3" s="31"/>
      <c r="X3" s="31"/>
      <c r="Y3" s="31"/>
      <c r="Z3" s="31"/>
      <c r="AA3" s="31"/>
    </row>
    <row r="4" spans="1:27" ht="26.25">
      <c r="A4" s="33"/>
      <c r="B4" s="38"/>
      <c r="C4" s="38"/>
      <c r="D4" s="38"/>
      <c r="E4" s="38"/>
      <c r="F4" s="38"/>
      <c r="G4" s="38"/>
      <c r="H4" s="38"/>
      <c r="I4" s="38"/>
      <c r="J4" s="38"/>
      <c r="K4" s="38"/>
      <c r="L4" s="39"/>
      <c r="M4" s="1"/>
      <c r="O4" s="35"/>
      <c r="P4" s="35"/>
      <c r="Q4" s="35"/>
      <c r="R4" s="31"/>
      <c r="S4" s="31"/>
      <c r="T4" s="31"/>
      <c r="U4" s="31"/>
      <c r="V4" s="31"/>
      <c r="W4" s="31"/>
      <c r="X4" s="31"/>
      <c r="Y4" s="31"/>
      <c r="Z4" s="31"/>
      <c r="AA4" s="31"/>
    </row>
    <row r="5" spans="1:27" ht="26.25">
      <c r="A5" s="33"/>
      <c r="B5" s="38"/>
      <c r="C5" s="38"/>
      <c r="D5" s="38"/>
      <c r="E5" s="38"/>
      <c r="F5" s="38"/>
      <c r="G5" s="38"/>
      <c r="H5" s="38"/>
      <c r="I5" s="38"/>
      <c r="J5" s="38"/>
      <c r="K5" s="38"/>
      <c r="L5" s="39"/>
      <c r="M5" s="1"/>
      <c r="O5" s="35"/>
      <c r="P5" s="35"/>
      <c r="Q5" s="35"/>
      <c r="R5" s="31"/>
      <c r="S5" s="31"/>
      <c r="T5" s="31"/>
      <c r="U5" s="31"/>
      <c r="V5" s="31"/>
      <c r="W5" s="31"/>
      <c r="X5" s="31"/>
      <c r="Y5" s="31"/>
      <c r="Z5" s="31"/>
      <c r="AA5" s="31"/>
    </row>
    <row r="6" spans="1:27" ht="26.25">
      <c r="A6" s="33"/>
      <c r="B6" s="38"/>
      <c r="C6" s="38"/>
      <c r="D6" s="38"/>
      <c r="E6" s="38"/>
      <c r="F6" s="38"/>
      <c r="G6" s="38"/>
      <c r="H6" s="38"/>
      <c r="I6" s="38"/>
      <c r="J6" s="38"/>
      <c r="K6" s="38"/>
      <c r="L6" s="39"/>
      <c r="M6" s="1"/>
      <c r="O6" s="35"/>
      <c r="P6" s="35"/>
      <c r="Q6" s="35"/>
      <c r="R6" s="31"/>
      <c r="S6" s="31"/>
      <c r="T6" s="31"/>
      <c r="U6" s="31"/>
      <c r="V6" s="31"/>
      <c r="W6" s="31"/>
      <c r="X6" s="31"/>
      <c r="Y6" s="31"/>
      <c r="Z6" s="31"/>
      <c r="AA6" s="31"/>
    </row>
    <row r="7" spans="1:27" ht="27" thickBot="1">
      <c r="A7" s="34"/>
      <c r="B7" s="40"/>
      <c r="C7" s="40"/>
      <c r="D7" s="40"/>
      <c r="E7" s="40"/>
      <c r="F7" s="40"/>
      <c r="G7" s="40"/>
      <c r="H7" s="40"/>
      <c r="I7" s="40"/>
      <c r="J7" s="40"/>
      <c r="K7" s="40"/>
      <c r="L7" s="41"/>
      <c r="M7" s="1"/>
      <c r="O7" s="35"/>
      <c r="P7" s="35"/>
      <c r="Q7" s="35"/>
      <c r="R7" s="31"/>
      <c r="S7" s="31"/>
      <c r="T7" s="31"/>
      <c r="U7" s="31"/>
      <c r="V7" s="31"/>
      <c r="W7" s="31"/>
      <c r="X7" s="31"/>
      <c r="Y7" s="31"/>
      <c r="Z7" s="31"/>
      <c r="AA7" s="31"/>
    </row>
    <row r="8" spans="1:27" ht="26.25">
      <c r="A8" s="1"/>
      <c r="B8" s="1"/>
      <c r="C8" s="1"/>
      <c r="D8" s="1"/>
      <c r="E8" s="1"/>
      <c r="F8" s="1"/>
      <c r="G8" s="1"/>
      <c r="H8" s="1"/>
      <c r="I8" s="1"/>
      <c r="J8" s="1"/>
      <c r="K8" s="1"/>
      <c r="L8" s="1"/>
      <c r="M8" s="1"/>
    </row>
    <row r="9" spans="1:27" ht="26.25">
      <c r="A9" s="1"/>
      <c r="B9" s="1"/>
      <c r="C9" s="1"/>
      <c r="D9" s="1"/>
      <c r="E9" s="1"/>
      <c r="F9" s="1"/>
      <c r="G9" s="1"/>
      <c r="H9" s="1"/>
      <c r="I9" s="1"/>
      <c r="J9" s="1"/>
      <c r="K9" s="1"/>
      <c r="L9" s="1"/>
      <c r="M9" s="1"/>
    </row>
    <row r="10" spans="1:27" ht="26.25">
      <c r="A10" s="1"/>
      <c r="B10" s="1"/>
      <c r="C10" s="1"/>
      <c r="D10" s="1"/>
      <c r="E10" s="1"/>
      <c r="F10" s="1"/>
      <c r="G10" s="1"/>
      <c r="H10" s="1"/>
      <c r="I10" s="1"/>
      <c r="J10" s="1"/>
      <c r="K10" s="1"/>
      <c r="L10" s="1"/>
      <c r="M10" s="1"/>
    </row>
    <row r="11" spans="1:27" ht="26.25">
      <c r="A11" s="1"/>
      <c r="B11" s="1"/>
      <c r="C11" s="1"/>
      <c r="D11" s="1"/>
      <c r="E11" s="1"/>
      <c r="F11" s="1"/>
      <c r="G11" s="1"/>
      <c r="H11" s="1"/>
      <c r="I11" s="1"/>
      <c r="J11" s="1"/>
      <c r="K11" s="1"/>
      <c r="L11" s="1"/>
      <c r="M11" s="1"/>
    </row>
    <row r="12" spans="1:27" ht="26.25">
      <c r="A12" s="1"/>
      <c r="B12" s="1"/>
      <c r="C12" s="1"/>
      <c r="D12" s="1"/>
      <c r="E12" s="1"/>
      <c r="F12" s="1"/>
      <c r="G12" s="1"/>
      <c r="H12" s="1"/>
      <c r="I12" s="1"/>
      <c r="J12" s="1"/>
      <c r="K12" s="1"/>
      <c r="L12" s="1"/>
      <c r="M12" s="1"/>
    </row>
    <row r="13" spans="1:27" ht="26.25">
      <c r="A13" s="1"/>
      <c r="B13" s="1"/>
      <c r="C13" s="1"/>
      <c r="D13" s="1"/>
      <c r="E13" s="1"/>
      <c r="F13" s="1"/>
      <c r="G13" s="1"/>
      <c r="H13" s="1"/>
      <c r="I13" s="1"/>
      <c r="J13" s="1"/>
      <c r="K13" s="1"/>
      <c r="L13" s="1"/>
      <c r="M13" s="1"/>
    </row>
    <row r="14" spans="1:27" ht="26.25">
      <c r="A14" s="1"/>
      <c r="B14" s="1"/>
      <c r="C14" s="1"/>
      <c r="D14" s="1"/>
      <c r="E14" s="1"/>
      <c r="F14" s="1"/>
      <c r="G14" s="1"/>
      <c r="H14" s="1"/>
      <c r="I14" s="1"/>
      <c r="J14" s="1"/>
      <c r="K14" s="1"/>
      <c r="L14" s="1"/>
      <c r="M14" s="1"/>
    </row>
    <row r="15" spans="1:27" ht="26.25">
      <c r="A15" s="1"/>
      <c r="B15" s="1"/>
      <c r="C15" s="1"/>
      <c r="D15" s="1"/>
      <c r="E15" s="1"/>
      <c r="F15" s="1"/>
      <c r="G15" s="1"/>
      <c r="H15" s="1"/>
      <c r="I15" s="1"/>
      <c r="J15" s="1"/>
      <c r="K15" s="1"/>
      <c r="L15" s="1"/>
      <c r="M15" s="1"/>
    </row>
    <row r="16" spans="1:27" ht="26.25">
      <c r="A16" s="1"/>
      <c r="B16" s="1"/>
      <c r="C16" s="1"/>
      <c r="D16" s="1"/>
      <c r="E16" s="1"/>
      <c r="F16" s="1"/>
      <c r="G16" s="1"/>
      <c r="H16" s="1"/>
      <c r="I16" s="1"/>
      <c r="J16" s="1"/>
      <c r="K16" s="1"/>
      <c r="L16" s="1"/>
      <c r="M16" s="1"/>
    </row>
    <row r="17" spans="1:13" ht="26.25">
      <c r="A17" s="1"/>
      <c r="B17" s="1"/>
      <c r="C17" s="1"/>
      <c r="D17" s="1"/>
      <c r="E17" s="1"/>
      <c r="F17" s="1"/>
      <c r="G17" s="1"/>
      <c r="H17" s="1"/>
      <c r="I17" s="1"/>
      <c r="J17" s="1"/>
      <c r="K17" s="1"/>
      <c r="L17" s="1"/>
      <c r="M17" s="1"/>
    </row>
    <row r="18" spans="1:13" ht="26.25">
      <c r="A18" s="1"/>
      <c r="B18" s="1"/>
      <c r="C18" s="1"/>
      <c r="D18" s="1"/>
      <c r="E18" s="1"/>
      <c r="F18" s="1"/>
      <c r="G18" s="1"/>
      <c r="H18" s="1"/>
      <c r="I18" s="1"/>
      <c r="J18" s="1"/>
      <c r="K18" s="1"/>
      <c r="L18" s="1"/>
      <c r="M18" s="1"/>
    </row>
    <row r="19" spans="1:13" ht="26.25">
      <c r="A19" s="1"/>
      <c r="B19" s="1"/>
      <c r="C19" s="1"/>
      <c r="D19" s="1"/>
      <c r="E19" s="1"/>
      <c r="F19" s="1"/>
      <c r="G19" s="1"/>
      <c r="H19" s="1"/>
      <c r="I19" s="1"/>
      <c r="J19" s="1"/>
      <c r="K19" s="1"/>
      <c r="L19" s="1"/>
      <c r="M19" s="1"/>
    </row>
    <row r="20" spans="1:13" ht="26.25">
      <c r="A20" s="1"/>
      <c r="B20" s="1"/>
      <c r="C20" s="1"/>
      <c r="D20" s="1"/>
      <c r="E20" s="1"/>
      <c r="F20" s="1"/>
      <c r="G20" s="1"/>
      <c r="H20" s="1"/>
      <c r="I20" s="1"/>
      <c r="J20" s="1"/>
      <c r="K20" s="1"/>
      <c r="L20" s="1"/>
      <c r="M20" s="1"/>
    </row>
    <row r="21" spans="1:13" ht="26.25">
      <c r="A21" s="1"/>
      <c r="B21" s="1"/>
      <c r="C21" s="1"/>
      <c r="D21" s="1"/>
      <c r="E21" s="1"/>
      <c r="F21" s="1"/>
      <c r="G21" s="1"/>
      <c r="H21" s="1"/>
      <c r="I21" s="1"/>
      <c r="J21" s="1"/>
      <c r="K21" s="1"/>
      <c r="L21" s="1"/>
      <c r="M21" s="1"/>
    </row>
    <row r="22" spans="1:13" ht="26.25">
      <c r="A22" s="1"/>
      <c r="B22" s="1"/>
      <c r="C22" s="1"/>
      <c r="D22" s="1"/>
      <c r="E22" s="1"/>
      <c r="F22" s="1"/>
      <c r="G22" s="1"/>
      <c r="H22" s="1"/>
      <c r="I22" s="1"/>
      <c r="J22" s="1"/>
      <c r="K22" s="1"/>
      <c r="L22" s="1"/>
      <c r="M22" s="1"/>
    </row>
    <row r="23" spans="1:13" ht="26.25">
      <c r="A23" s="1"/>
      <c r="B23" s="1"/>
      <c r="C23" s="1"/>
      <c r="D23" s="1"/>
      <c r="E23" s="1"/>
      <c r="F23" s="1"/>
      <c r="G23" s="1"/>
      <c r="H23" s="1"/>
      <c r="I23" s="1"/>
      <c r="J23" s="1"/>
      <c r="K23" s="1"/>
      <c r="L23" s="1"/>
      <c r="M23" s="1"/>
    </row>
    <row r="24" spans="1:13" ht="26.25">
      <c r="A24" s="1"/>
      <c r="B24" s="1"/>
      <c r="C24" s="1"/>
      <c r="D24" s="1"/>
      <c r="E24" s="1"/>
      <c r="F24" s="1"/>
      <c r="G24" s="1"/>
      <c r="H24" s="1"/>
      <c r="I24" s="1"/>
      <c r="J24" s="1"/>
      <c r="K24" s="1"/>
      <c r="L24" s="1"/>
      <c r="M24" s="1"/>
    </row>
    <row r="25" spans="1:13" ht="26.25">
      <c r="A25" s="1"/>
      <c r="B25" s="1"/>
      <c r="C25" s="1"/>
      <c r="D25" s="1"/>
      <c r="E25" s="1"/>
      <c r="F25" s="1"/>
      <c r="G25" s="1"/>
      <c r="H25" s="1"/>
      <c r="I25" s="1"/>
      <c r="J25" s="1"/>
      <c r="K25" s="1"/>
      <c r="L25" s="1"/>
      <c r="M25" s="1"/>
    </row>
    <row r="26" spans="1:13" ht="26.25">
      <c r="A26" s="1"/>
      <c r="B26" s="1"/>
      <c r="C26" s="1"/>
      <c r="D26" s="1"/>
      <c r="E26" s="1"/>
      <c r="F26" s="1"/>
      <c r="G26" s="1"/>
      <c r="H26" s="1"/>
      <c r="I26" s="1"/>
      <c r="J26" s="1"/>
      <c r="K26" s="1"/>
      <c r="L26" s="1"/>
      <c r="M26" s="1"/>
    </row>
    <row r="27" spans="1:13" ht="26.25">
      <c r="A27" s="1"/>
      <c r="B27" s="1"/>
      <c r="C27" s="1"/>
      <c r="D27" s="1"/>
      <c r="E27" s="1"/>
      <c r="F27" s="1"/>
      <c r="G27" s="1"/>
      <c r="H27" s="1"/>
      <c r="I27" s="1"/>
      <c r="J27" s="1"/>
      <c r="K27" s="1"/>
      <c r="L27" s="1"/>
      <c r="M27" s="1"/>
    </row>
    <row r="28" spans="1:13" ht="26.25">
      <c r="A28" s="1"/>
      <c r="B28" s="1"/>
      <c r="C28" s="1"/>
      <c r="D28" s="1"/>
      <c r="E28" s="1"/>
      <c r="F28" s="1"/>
      <c r="G28" s="1"/>
      <c r="H28" s="1"/>
      <c r="I28" s="1"/>
      <c r="J28" s="1"/>
      <c r="K28" s="1"/>
      <c r="L28" s="1"/>
      <c r="M28" s="1"/>
    </row>
    <row r="29" spans="1:13" ht="26.25">
      <c r="A29" s="1"/>
      <c r="B29" s="1"/>
      <c r="C29" s="1"/>
      <c r="D29" s="1"/>
      <c r="E29" s="1"/>
      <c r="F29" s="1"/>
      <c r="G29" s="1"/>
      <c r="H29" s="1"/>
      <c r="I29" s="1"/>
      <c r="J29" s="1"/>
      <c r="K29" s="1"/>
      <c r="L29" s="1"/>
      <c r="M29" s="1"/>
    </row>
    <row r="30" spans="1:13" ht="26.25">
      <c r="A30" s="1"/>
      <c r="B30" s="1"/>
      <c r="C30" s="1"/>
      <c r="D30" s="1"/>
      <c r="E30" s="1"/>
      <c r="F30" s="1"/>
      <c r="G30" s="1"/>
      <c r="H30" s="1"/>
      <c r="I30" s="1"/>
      <c r="J30" s="1"/>
      <c r="K30" s="1"/>
      <c r="L30" s="1"/>
      <c r="M30" s="1"/>
    </row>
    <row r="31" spans="1:13" ht="26.25">
      <c r="A31" s="1"/>
      <c r="B31" s="1"/>
      <c r="C31" s="1"/>
      <c r="D31" s="1"/>
      <c r="E31" s="1"/>
      <c r="F31" s="1"/>
      <c r="G31" s="1"/>
      <c r="H31" s="1"/>
      <c r="I31" s="1"/>
      <c r="J31" s="1"/>
      <c r="K31" s="1"/>
      <c r="L31" s="1"/>
      <c r="M31" s="1"/>
    </row>
    <row r="32" spans="1:13" ht="26.25">
      <c r="A32" s="1"/>
      <c r="B32" s="1"/>
      <c r="C32" s="1"/>
      <c r="D32" s="1"/>
      <c r="E32" s="1"/>
      <c r="F32" s="1"/>
      <c r="G32" s="1"/>
      <c r="H32" s="1"/>
      <c r="I32" s="1"/>
      <c r="J32" s="1"/>
      <c r="K32" s="1"/>
      <c r="L32" s="1"/>
      <c r="M32" s="1"/>
    </row>
    <row r="33" spans="1:13" ht="26.25">
      <c r="A33" s="1"/>
      <c r="B33" s="1"/>
      <c r="C33" s="1"/>
      <c r="D33" s="1"/>
      <c r="E33" s="1"/>
      <c r="F33" s="1"/>
      <c r="G33" s="1"/>
      <c r="H33" s="1"/>
      <c r="I33" s="1"/>
      <c r="J33" s="1"/>
      <c r="K33" s="1"/>
      <c r="L33" s="1"/>
      <c r="M33" s="1"/>
    </row>
  </sheetData>
  <mergeCells count="4">
    <mergeCell ref="R1:AA7"/>
    <mergeCell ref="A1:A7"/>
    <mergeCell ref="O1:Q7"/>
    <mergeCell ref="B1:L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Portfolio</vt:lpstr>
      <vt:lpstr>Weekly Updates</vt:lpstr>
      <vt:lpstr>Hidden 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dossa</dc:creator>
  <cp:lastModifiedBy>mohammed dossa</cp:lastModifiedBy>
  <dcterms:created xsi:type="dcterms:W3CDTF">2026-06-15T20:55:56Z</dcterms:created>
  <dcterms:modified xsi:type="dcterms:W3CDTF">2026-09-06T20:09:56Z</dcterms:modified>
</cp:coreProperties>
</file>